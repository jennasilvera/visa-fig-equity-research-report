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Sources" sheetId="2" state="visible" r:id="rId2"/>
    <sheet xmlns:r="http://schemas.openxmlformats.org/officeDocument/2006/relationships" name="03_Setup_Control" sheetId="3" state="visible" r:id="rId3"/>
    <sheet xmlns:r="http://schemas.openxmlformats.org/officeDocument/2006/relationships" name="04_Historical_Financials" sheetId="4" state="visible" r:id="rId4"/>
    <sheet xmlns:r="http://schemas.openxmlformats.org/officeDocument/2006/relationships" name="05_KPI_History" sheetId="5" state="visible" r:id="rId5"/>
    <sheet xmlns:r="http://schemas.openxmlformats.org/officeDocument/2006/relationships" name="06_Revenue_Build" sheetId="6" state="visible" r:id="rId6"/>
    <sheet xmlns:r="http://schemas.openxmlformats.org/officeDocument/2006/relationships" name="07_Client_Incentives" sheetId="7" state="visible" r:id="rId7"/>
    <sheet xmlns:r="http://schemas.openxmlformats.org/officeDocument/2006/relationships" name="08_VAS_Model" sheetId="8" state="visible" r:id="rId8"/>
    <sheet xmlns:r="http://schemas.openxmlformats.org/officeDocument/2006/relationships" name="09_Cross_Border_Model" sheetId="9" state="visible" r:id="rId9"/>
    <sheet xmlns:r="http://schemas.openxmlformats.org/officeDocument/2006/relationships" name="10_Operating_Expense_Build" sheetId="10" state="visible" r:id="rId10"/>
    <sheet xmlns:r="http://schemas.openxmlformats.org/officeDocument/2006/relationships" name="11_Margin_Walk" sheetId="11" state="visible" r:id="rId11"/>
    <sheet xmlns:r="http://schemas.openxmlformats.org/officeDocument/2006/relationships" name="12_Tax_DA_Capex_NWC" sheetId="12" state="visible" r:id="rId12"/>
    <sheet xmlns:r="http://schemas.openxmlformats.org/officeDocument/2006/relationships" name="13_Free_Cash_Flow" sheetId="13" state="visible" r:id="rId13"/>
    <sheet xmlns:r="http://schemas.openxmlformats.org/officeDocument/2006/relationships" name="14_Share_Count_Buybacks" sheetId="14" state="visible" r:id="rId14"/>
    <sheet xmlns:r="http://schemas.openxmlformats.org/officeDocument/2006/relationships" name="15_DCF" sheetId="15" state="visible" r:id="rId15"/>
    <sheet xmlns:r="http://schemas.openxmlformats.org/officeDocument/2006/relationships" name="16_Trading_Comps" sheetId="16" state="visible" r:id="rId16"/>
    <sheet xmlns:r="http://schemas.openxmlformats.org/officeDocument/2006/relationships" name="17_Precedent_Transactions" sheetId="17" state="visible" r:id="rId17"/>
    <sheet xmlns:r="http://schemas.openxmlformats.org/officeDocument/2006/relationships" name="18_SOTP" sheetId="18" state="visible" r:id="rId18"/>
    <sheet xmlns:r="http://schemas.openxmlformats.org/officeDocument/2006/relationships" name="19_Scenario_Manager" sheetId="19" state="visible" r:id="rId19"/>
    <sheet xmlns:r="http://schemas.openxmlformats.org/officeDocument/2006/relationships" name="20_Sensitivity_Tables" sheetId="20" state="visible" r:id="rId20"/>
    <sheet xmlns:r="http://schemas.openxmlformats.org/officeDocument/2006/relationships" name="21_Consensus_Bridge" sheetId="21" state="visible" r:id="rId21"/>
    <sheet xmlns:r="http://schemas.openxmlformats.org/officeDocument/2006/relationships" name="22_Output_Dashboard" sheetId="22" state="visible" r:id="rId22"/>
    <sheet xmlns:r="http://schemas.openxmlformats.org/officeDocument/2006/relationships" name="23_Charts" sheetId="23" state="visible" r:id="rId23"/>
    <sheet xmlns:r="http://schemas.openxmlformats.org/officeDocument/2006/relationships" name="24_Model_Checks" sheetId="24" state="visible" r:id="rId24"/>
    <sheet xmlns:r="http://schemas.openxmlformats.org/officeDocument/2006/relationships" name="25_Print_Packag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374151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1D4ED8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Visa Institutional Equity Research Model V2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FIG / Payments Coverage Model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4" t="inlineStr">
        <is>
          <t>Company</t>
        </is>
      </c>
      <c r="B4" s="5" t="inlineStr">
        <is>
          <t>Visa Inc.</t>
        </is>
      </c>
      <c r="C4" s="2" t="n"/>
      <c r="D4" s="2" t="n"/>
      <c r="E4" s="2" t="n"/>
      <c r="F4" s="2" t="n"/>
      <c r="G4" s="2" t="n"/>
      <c r="H4" s="2" t="n"/>
    </row>
    <row r="5" ht="22" customHeight="1">
      <c r="A5" s="4" t="inlineStr">
        <is>
          <t>Ticker</t>
        </is>
      </c>
      <c r="B5" s="5" t="inlineStr">
        <is>
          <t>NYSE: V</t>
        </is>
      </c>
      <c r="C5" s="2" t="n"/>
      <c r="D5" s="2" t="n"/>
      <c r="E5" s="2" t="n"/>
      <c r="F5" s="2" t="n"/>
      <c r="G5" s="2" t="n"/>
      <c r="H5" s="2" t="n"/>
    </row>
    <row r="6" ht="22" customHeight="1">
      <c r="A6" s="4" t="inlineStr">
        <is>
          <t>Sector</t>
        </is>
      </c>
      <c r="B6" s="5" t="inlineStr">
        <is>
          <t>Financial Institutions / Payments</t>
        </is>
      </c>
      <c r="C6" s="2" t="n"/>
      <c r="D6" s="2" t="n"/>
      <c r="E6" s="2" t="n"/>
      <c r="F6" s="2" t="n"/>
      <c r="G6" s="2" t="n"/>
      <c r="H6" s="2" t="n"/>
    </row>
    <row r="7" ht="22" customHeight="1">
      <c r="A7" s="4" t="inlineStr">
        <is>
          <t>Purpose</t>
        </is>
      </c>
      <c r="B7" s="5" t="inlineStr">
        <is>
          <t>Institutional-style equity research, valuation, and KPI model</t>
        </is>
      </c>
      <c r="C7" s="2" t="n"/>
      <c r="D7" s="2" t="n"/>
      <c r="E7" s="2" t="n"/>
      <c r="F7" s="2" t="n"/>
      <c r="G7" s="2" t="n"/>
      <c r="H7" s="2" t="n"/>
    </row>
    <row r="8" ht="22" customHeight="1">
      <c r="A8" s="4" t="inlineStr">
        <is>
          <t>Primary Outputs</t>
        </is>
      </c>
      <c r="B8" s="5" t="inlineStr">
        <is>
          <t>DCF, trading comps, precedents, SOTP, scenarios, KPI dashboard</t>
        </is>
      </c>
      <c r="C8" s="2" t="n"/>
      <c r="D8" s="2" t="n"/>
      <c r="E8" s="2" t="n"/>
      <c r="F8" s="2" t="n"/>
      <c r="G8" s="2" t="n"/>
      <c r="H8" s="2" t="n"/>
    </row>
    <row r="9" ht="22" customHeight="1">
      <c r="A9" s="4" t="inlineStr">
        <is>
          <t>Status</t>
        </is>
      </c>
      <c r="B9" s="5" t="inlineStr">
        <is>
          <t>V2 model scaffold; historical data and market data should be refreshed before use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4" t="inlineStr">
        <is>
          <t>Color Code</t>
        </is>
      </c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5" t="inlineStr">
        <is>
          <t>Yellow</t>
        </is>
      </c>
      <c r="B13" s="5" t="inlineStr">
        <is>
          <t>Hardcoded input</t>
        </is>
      </c>
      <c r="C13" s="2" t="n"/>
      <c r="D13" s="2" t="n"/>
      <c r="E13" s="2" t="n"/>
      <c r="F13" s="2" t="n"/>
      <c r="G13" s="2" t="n"/>
      <c r="H13" s="2" t="n"/>
    </row>
    <row r="14" ht="22" customHeight="1">
      <c r="A14" s="5" t="inlineStr">
        <is>
          <t>Blue</t>
        </is>
      </c>
      <c r="B14" s="5" t="inlineStr">
        <is>
          <t>Formula</t>
        </is>
      </c>
      <c r="C14" s="2" t="n"/>
      <c r="D14" s="2" t="n"/>
      <c r="E14" s="2" t="n"/>
      <c r="F14" s="2" t="n"/>
      <c r="G14" s="2" t="n"/>
      <c r="H14" s="2" t="n"/>
    </row>
    <row r="15" ht="22" customHeight="1">
      <c r="A15" s="5" t="inlineStr">
        <is>
          <t>Green</t>
        </is>
      </c>
      <c r="B15" s="5" t="inlineStr">
        <is>
          <t>Output</t>
        </is>
      </c>
      <c r="C15" s="2" t="n"/>
      <c r="D15" s="2" t="n"/>
      <c r="E15" s="2" t="n"/>
      <c r="F15" s="2" t="n"/>
      <c r="G15" s="2" t="n"/>
      <c r="H15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Sources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All major figures should be traceable to filings, transcripts, or public market data.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6" t="inlineStr">
        <is>
          <t>Source Type</t>
        </is>
      </c>
      <c r="B4" s="6" t="inlineStr">
        <is>
          <t>Document</t>
        </is>
      </c>
      <c r="C4" s="6" t="inlineStr">
        <is>
          <t>Date</t>
        </is>
      </c>
      <c r="D4" s="6" t="inlineStr">
        <is>
          <t>Metric / Section</t>
        </is>
      </c>
      <c r="E4" s="6" t="inlineStr">
        <is>
          <t>Reference</t>
        </is>
      </c>
      <c r="F4" s="6" t="inlineStr">
        <is>
          <t>Notes</t>
        </is>
      </c>
      <c r="G4" s="2" t="n"/>
      <c r="H4" s="2" t="n"/>
    </row>
    <row r="5" ht="22" customHeight="1">
      <c r="A5" s="5" t="inlineStr">
        <is>
          <t>Company Filing</t>
        </is>
      </c>
      <c r="B5" s="5" t="inlineStr">
        <is>
          <t>Visa 10-K</t>
        </is>
      </c>
      <c r="C5" s="5" t="inlineStr">
        <is>
          <t>TBD</t>
        </is>
      </c>
      <c r="D5" s="5" t="inlineStr">
        <is>
          <t>Historical financials / KPIs</t>
        </is>
      </c>
      <c r="E5" s="5" t="inlineStr">
        <is>
          <t>TBD</t>
        </is>
      </c>
      <c r="F5" s="5" t="inlineStr">
        <is>
          <t>Add filing section or page</t>
        </is>
      </c>
      <c r="G5" s="2" t="n"/>
      <c r="H5" s="2" t="n"/>
    </row>
    <row r="6" ht="22" customHeight="1">
      <c r="A6" s="5" t="inlineStr">
        <is>
          <t>Company Filing</t>
        </is>
      </c>
      <c r="B6" s="5" t="inlineStr">
        <is>
          <t>Visa 10-Q</t>
        </is>
      </c>
      <c r="C6" s="5" t="inlineStr">
        <is>
          <t>TBD</t>
        </is>
      </c>
      <c r="D6" s="5" t="inlineStr">
        <is>
          <t>Quarterly update</t>
        </is>
      </c>
      <c r="E6" s="5" t="inlineStr">
        <is>
          <t>TBD</t>
        </is>
      </c>
      <c r="F6" s="5" t="inlineStr">
        <is>
          <t>Add filing section or page</t>
        </is>
      </c>
      <c r="G6" s="2" t="n"/>
      <c r="H6" s="2" t="n"/>
    </row>
    <row r="7" ht="22" customHeight="1">
      <c r="A7" s="5" t="inlineStr">
        <is>
          <t>Transcript</t>
        </is>
      </c>
      <c r="B7" s="5" t="inlineStr">
        <is>
          <t>Visa earnings call</t>
        </is>
      </c>
      <c r="C7" s="5" t="inlineStr">
        <is>
          <t>TBD</t>
        </is>
      </c>
      <c r="D7" s="5" t="inlineStr">
        <is>
          <t>Management commentary</t>
        </is>
      </c>
      <c r="E7" s="5" t="inlineStr">
        <is>
          <t>TBD</t>
        </is>
      </c>
      <c r="F7" s="5" t="inlineStr">
        <is>
          <t>Add transcript source</t>
        </is>
      </c>
      <c r="G7" s="2" t="n"/>
      <c r="H7" s="2" t="n"/>
    </row>
    <row r="8" ht="22" customHeight="1">
      <c r="A8" s="5" t="inlineStr">
        <is>
          <t>Peer Filing</t>
        </is>
      </c>
      <c r="B8" s="5" t="inlineStr">
        <is>
          <t>Mastercard 10-K</t>
        </is>
      </c>
      <c r="C8" s="5" t="inlineStr">
        <is>
          <t>TBD</t>
        </is>
      </c>
      <c r="D8" s="5" t="inlineStr">
        <is>
          <t>Peer comparison</t>
        </is>
      </c>
      <c r="E8" s="5" t="inlineStr">
        <is>
          <t>TBD</t>
        </is>
      </c>
      <c r="F8" s="5" t="inlineStr">
        <is>
          <t>Add filing section or page</t>
        </is>
      </c>
      <c r="G8" s="2" t="n"/>
      <c r="H8" s="2" t="n"/>
    </row>
    <row r="9" ht="22" customHeight="1">
      <c r="A9" s="5" t="inlineStr">
        <is>
          <t>Market Data</t>
        </is>
      </c>
      <c r="B9" s="5" t="inlineStr">
        <is>
          <t>Public market data</t>
        </is>
      </c>
      <c r="C9" s="5" t="inlineStr">
        <is>
          <t>TBD</t>
        </is>
      </c>
      <c r="D9" s="5" t="inlineStr">
        <is>
          <t>Share price / multiples</t>
        </is>
      </c>
      <c r="E9" s="5" t="inlineStr">
        <is>
          <t>TBD</t>
        </is>
      </c>
      <c r="F9" s="5" t="inlineStr">
        <is>
          <t>Refresh before use</t>
        </is>
      </c>
      <c r="G9" s="2" t="n"/>
      <c r="H9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Setup and Control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Central assumptions for valuation and scenarios.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6" t="inlineStr">
        <is>
          <t>Assumption</t>
        </is>
      </c>
      <c r="B4" s="6" t="inlineStr">
        <is>
          <t>Base</t>
        </is>
      </c>
      <c r="C4" s="6" t="inlineStr">
        <is>
          <t>Bear</t>
        </is>
      </c>
      <c r="D4" s="6" t="inlineStr">
        <is>
          <t>Bull</t>
        </is>
      </c>
      <c r="E4" s="6" t="inlineStr">
        <is>
          <t>Notes</t>
        </is>
      </c>
      <c r="F4" s="2" t="n"/>
      <c r="G4" s="2" t="n"/>
      <c r="H4" s="2" t="n"/>
    </row>
    <row r="5" ht="22" customHeight="1">
      <c r="A5" s="5" t="inlineStr">
        <is>
          <t>Current Share Price</t>
        </is>
      </c>
      <c r="B5" s="7" t="inlineStr"/>
      <c r="C5" s="7" t="inlineStr"/>
      <c r="D5" s="7" t="inlineStr"/>
      <c r="E5" s="5" t="inlineStr">
        <is>
          <t>Input latest price</t>
        </is>
      </c>
      <c r="F5" s="2" t="n"/>
      <c r="G5" s="2" t="n"/>
      <c r="H5" s="2" t="n"/>
    </row>
    <row r="6" ht="22" customHeight="1">
      <c r="A6" s="5" t="inlineStr">
        <is>
          <t>Diluted Shares</t>
        </is>
      </c>
      <c r="B6" s="7" t="inlineStr"/>
      <c r="C6" s="7" t="inlineStr"/>
      <c r="D6" s="7" t="inlineStr"/>
      <c r="E6" s="5" t="inlineStr">
        <is>
          <t>Input latest diluted shares</t>
        </is>
      </c>
      <c r="F6" s="2" t="n"/>
      <c r="G6" s="2" t="n"/>
      <c r="H6" s="2" t="n"/>
    </row>
    <row r="7" ht="22" customHeight="1">
      <c r="A7" s="5" t="inlineStr">
        <is>
          <t>Net Cash / (Debt)</t>
        </is>
      </c>
      <c r="B7" s="7" t="inlineStr"/>
      <c r="C7" s="7" t="inlineStr"/>
      <c r="D7" s="7" t="inlineStr"/>
      <c r="E7" s="5" t="inlineStr">
        <is>
          <t>Cash less debt</t>
        </is>
      </c>
      <c r="F7" s="2" t="n"/>
      <c r="G7" s="2" t="n"/>
      <c r="H7" s="2" t="n"/>
    </row>
    <row r="8" ht="22" customHeight="1">
      <c r="A8" s="5" t="inlineStr">
        <is>
          <t>WACC</t>
        </is>
      </c>
      <c r="B8" s="7" t="n">
        <v>0.08500000000000001</v>
      </c>
      <c r="C8" s="7" t="n">
        <v>0.095</v>
      </c>
      <c r="D8" s="7" t="n">
        <v>0.075</v>
      </c>
      <c r="E8" s="5" t="inlineStr">
        <is>
          <t>Discount rate</t>
        </is>
      </c>
      <c r="F8" s="2" t="n"/>
      <c r="G8" s="2" t="n"/>
      <c r="H8" s="2" t="n"/>
    </row>
    <row r="9" ht="22" customHeight="1">
      <c r="A9" s="5" t="inlineStr">
        <is>
          <t>Terminal Growth Rate</t>
        </is>
      </c>
      <c r="B9" s="7" t="n">
        <v>0.035</v>
      </c>
      <c r="C9" s="7" t="n">
        <v>0.025</v>
      </c>
      <c r="D9" s="7" t="n">
        <v>0.045</v>
      </c>
      <c r="E9" s="5" t="inlineStr">
        <is>
          <t>Perpetuity growth</t>
        </is>
      </c>
      <c r="F9" s="2" t="n"/>
      <c r="G9" s="2" t="n"/>
      <c r="H9" s="2" t="n"/>
    </row>
    <row r="10" ht="22" customHeight="1">
      <c r="A10" s="5" t="inlineStr">
        <is>
          <t>Exit EBITDA Multiple</t>
        </is>
      </c>
      <c r="B10" s="7" t="n">
        <v>20</v>
      </c>
      <c r="C10" s="7" t="n">
        <v>16</v>
      </c>
      <c r="D10" s="7" t="n">
        <v>24</v>
      </c>
      <c r="E10" s="5" t="inlineStr">
        <is>
          <t>Terminal value cross-check</t>
        </is>
      </c>
      <c r="F10" s="2" t="n"/>
      <c r="G10" s="2" t="n"/>
      <c r="H10" s="2" t="n"/>
    </row>
    <row r="11" ht="22" customHeight="1">
      <c r="A11" s="5" t="inlineStr">
        <is>
          <t>Target P/E Multiple</t>
        </is>
      </c>
      <c r="B11" s="7" t="n">
        <v>30</v>
      </c>
      <c r="C11" s="7" t="n">
        <v>24</v>
      </c>
      <c r="D11" s="7" t="n">
        <v>35</v>
      </c>
      <c r="E11" s="5" t="inlineStr">
        <is>
          <t>Forward EPS multiple</t>
        </is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Historical Financials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Input reported historical financials and forecast core line items.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6" t="inlineStr">
        <is>
          <t>$ in millions, except per-share data</t>
        </is>
      </c>
      <c r="B4" s="6" t="inlineStr">
        <is>
          <t>FY2021A</t>
        </is>
      </c>
      <c r="C4" s="6" t="inlineStr">
        <is>
          <t>FY2022A</t>
        </is>
      </c>
      <c r="D4" s="6" t="inlineStr">
        <is>
          <t>FY2023A</t>
        </is>
      </c>
      <c r="E4" s="6" t="inlineStr">
        <is>
          <t>FY2024A</t>
        </is>
      </c>
      <c r="F4" s="6" t="inlineStr">
        <is>
          <t>FY2025A</t>
        </is>
      </c>
      <c r="G4" s="6" t="inlineStr">
        <is>
          <t>FY2026E</t>
        </is>
      </c>
      <c r="H4" s="6" t="inlineStr">
        <is>
          <t>FY2027E</t>
        </is>
      </c>
      <c r="I4" s="6" t="inlineStr">
        <is>
          <t>FY2028E</t>
        </is>
      </c>
    </row>
    <row r="5" ht="22" customHeight="1">
      <c r="A5" s="4" t="inlineStr">
        <is>
          <t>Net Revenue</t>
        </is>
      </c>
      <c r="B5" s="7" t="n"/>
      <c r="C5" s="7" t="n"/>
      <c r="D5" s="7" t="n"/>
      <c r="E5" s="7" t="n"/>
      <c r="F5" s="7" t="n"/>
      <c r="G5" s="8" t="n"/>
      <c r="H5" s="8" t="n"/>
      <c r="I5" s="8" t="n"/>
    </row>
    <row r="6" ht="22" customHeight="1">
      <c r="A6" s="4" t="inlineStr">
        <is>
          <t>YoY Revenue Growth</t>
        </is>
      </c>
      <c r="B6" s="7" t="n"/>
      <c r="C6" s="7">
        <f>C5/B5-1</f>
        <v/>
      </c>
      <c r="D6" s="7">
        <f>D5/C5-1</f>
        <v/>
      </c>
      <c r="E6" s="7">
        <f>E5/D5-1</f>
        <v/>
      </c>
      <c r="F6" s="7">
        <f>F5/E5-1</f>
        <v/>
      </c>
      <c r="G6" s="8">
        <f>G5/F5-1</f>
        <v/>
      </c>
      <c r="H6" s="8">
        <f>H5/G5-1</f>
        <v/>
      </c>
      <c r="I6" s="8">
        <f>I5/H5-1</f>
        <v/>
      </c>
    </row>
    <row r="7" ht="22" customHeight="1">
      <c r="A7" s="4" t="inlineStr">
        <is>
          <t>Operating Expenses</t>
        </is>
      </c>
      <c r="B7" s="7" t="n"/>
      <c r="C7" s="7" t="n"/>
      <c r="D7" s="7" t="n"/>
      <c r="E7" s="7" t="n"/>
      <c r="F7" s="7" t="n"/>
      <c r="G7" s="8" t="n"/>
      <c r="H7" s="8" t="n"/>
      <c r="I7" s="8" t="n"/>
    </row>
    <row r="8" ht="22" customHeight="1">
      <c r="A8" s="4" t="inlineStr">
        <is>
          <t>Operating Income</t>
        </is>
      </c>
      <c r="B8" s="7">
        <f>B5-B7</f>
        <v/>
      </c>
      <c r="C8" s="7">
        <f>C5-C7</f>
        <v/>
      </c>
      <c r="D8" s="7">
        <f>D5-D7</f>
        <v/>
      </c>
      <c r="E8" s="7">
        <f>E5-E7</f>
        <v/>
      </c>
      <c r="F8" s="7">
        <f>F5-F7</f>
        <v/>
      </c>
      <c r="G8" s="8">
        <f>G5-G7</f>
        <v/>
      </c>
      <c r="H8" s="8">
        <f>H5-H7</f>
        <v/>
      </c>
      <c r="I8" s="8">
        <f>I5-I7</f>
        <v/>
      </c>
    </row>
    <row r="9" ht="22" customHeight="1">
      <c r="A9" s="4" t="inlineStr">
        <is>
          <t>Operating Margin</t>
        </is>
      </c>
      <c r="B9" s="7">
        <f>B8/B5</f>
        <v/>
      </c>
      <c r="C9" s="7">
        <f>C8/C5</f>
        <v/>
      </c>
      <c r="D9" s="7">
        <f>D8/D5</f>
        <v/>
      </c>
      <c r="E9" s="7">
        <f>E8/E5</f>
        <v/>
      </c>
      <c r="F9" s="7">
        <f>F8/F5</f>
        <v/>
      </c>
      <c r="G9" s="8">
        <f>G8/G5</f>
        <v/>
      </c>
      <c r="H9" s="8">
        <f>H8/H5</f>
        <v/>
      </c>
      <c r="I9" s="8">
        <f>I8/I5</f>
        <v/>
      </c>
    </row>
    <row r="10" ht="22" customHeight="1">
      <c r="A10" s="4" t="inlineStr">
        <is>
          <t>Net Income</t>
        </is>
      </c>
      <c r="B10" s="7" t="n"/>
      <c r="C10" s="7" t="n"/>
      <c r="D10" s="7" t="n"/>
      <c r="E10" s="7" t="n"/>
      <c r="F10" s="7" t="n"/>
      <c r="G10" s="8" t="n"/>
      <c r="H10" s="8" t="n"/>
      <c r="I10" s="8" t="n"/>
    </row>
    <row r="11" ht="22" customHeight="1">
      <c r="A11" s="4" t="inlineStr">
        <is>
          <t>Diluted EPS</t>
        </is>
      </c>
      <c r="B11" s="7" t="n"/>
      <c r="C11" s="7" t="n"/>
      <c r="D11" s="7" t="n"/>
      <c r="E11" s="7" t="n"/>
      <c r="F11" s="7" t="n"/>
      <c r="G11" s="8" t="n"/>
      <c r="H11" s="8" t="n"/>
      <c r="I11" s="8" t="n"/>
    </row>
    <row r="12" ht="22" customHeight="1">
      <c r="A12" s="4" t="inlineStr">
        <is>
          <t>Operating Cash Flow</t>
        </is>
      </c>
      <c r="B12" s="7" t="n"/>
      <c r="C12" s="7" t="n"/>
      <c r="D12" s="7" t="n"/>
      <c r="E12" s="7" t="n"/>
      <c r="F12" s="7" t="n"/>
      <c r="G12" s="8" t="n"/>
      <c r="H12" s="8" t="n"/>
      <c r="I12" s="8" t="n"/>
    </row>
    <row r="13" ht="22" customHeight="1">
      <c r="A13" s="4" t="inlineStr">
        <is>
          <t>Capital Expenditures</t>
        </is>
      </c>
      <c r="B13" s="7" t="n"/>
      <c r="C13" s="7" t="n"/>
      <c r="D13" s="7" t="n"/>
      <c r="E13" s="7" t="n"/>
      <c r="F13" s="7" t="n"/>
      <c r="G13" s="8" t="n"/>
      <c r="H13" s="8" t="n"/>
      <c r="I13" s="8" t="n"/>
    </row>
    <row r="14" ht="22" customHeight="1">
      <c r="A14" s="4" t="inlineStr">
        <is>
          <t>Free Cash Flow</t>
        </is>
      </c>
      <c r="B14" s="7">
        <f>B12-B13</f>
        <v/>
      </c>
      <c r="C14" s="7">
        <f>C12-C13</f>
        <v/>
      </c>
      <c r="D14" s="7">
        <f>D12-D13</f>
        <v/>
      </c>
      <c r="E14" s="7">
        <f>E12-E13</f>
        <v/>
      </c>
      <c r="F14" s="7">
        <f>F12-F13</f>
        <v/>
      </c>
      <c r="G14" s="8">
        <f>G12-G13</f>
        <v/>
      </c>
      <c r="H14" s="8">
        <f>H12-H13</f>
        <v/>
      </c>
      <c r="I14" s="8">
        <f>I12-I13</f>
        <v/>
      </c>
    </row>
    <row r="15" ht="22" customHeight="1">
      <c r="A15" s="4" t="inlineStr">
        <is>
          <t>Diluted Shares</t>
        </is>
      </c>
      <c r="B15" s="7" t="n"/>
      <c r="C15" s="7" t="n"/>
      <c r="D15" s="7" t="n"/>
      <c r="E15" s="7" t="n"/>
      <c r="F15" s="7" t="n"/>
      <c r="G15" s="8" t="n"/>
      <c r="H15" s="8" t="n"/>
      <c r="I15" s="8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Payments KPI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Operating KPIs specific to networks and payments.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2" customHeight="1">
      <c r="A4" s="6" t="inlineStr">
        <is>
          <t>KPI</t>
        </is>
      </c>
      <c r="B4" s="6" t="inlineStr">
        <is>
          <t>FY2021A</t>
        </is>
      </c>
      <c r="C4" s="6" t="inlineStr">
        <is>
          <t>FY2022A</t>
        </is>
      </c>
      <c r="D4" s="6" t="inlineStr">
        <is>
          <t>FY2023A</t>
        </is>
      </c>
      <c r="E4" s="6" t="inlineStr">
        <is>
          <t>FY2024A</t>
        </is>
      </c>
      <c r="F4" s="6" t="inlineStr">
        <is>
          <t>FY2025A</t>
        </is>
      </c>
      <c r="G4" s="6" t="inlineStr">
        <is>
          <t>FY2026E</t>
        </is>
      </c>
      <c r="H4" s="6" t="inlineStr">
        <is>
          <t>FY2027E</t>
        </is>
      </c>
      <c r="I4" s="6" t="inlineStr">
        <is>
          <t>FY2028E</t>
        </is>
      </c>
      <c r="J4" s="6" t="inlineStr">
        <is>
          <t>Why It Matters</t>
        </is>
      </c>
    </row>
    <row r="5" ht="22" customHeight="1">
      <c r="A5" s="4" t="inlineStr">
        <is>
          <t>Payments Volume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5" t="inlineStr">
        <is>
          <t>Primary scale driver</t>
        </is>
      </c>
    </row>
    <row r="6" ht="22" customHeight="1">
      <c r="A6" s="4" t="inlineStr">
        <is>
          <t>Processed Transactions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5" t="inlineStr">
        <is>
          <t>Data processing driver</t>
        </is>
      </c>
    </row>
    <row r="7" ht="22" customHeight="1">
      <c r="A7" s="4" t="inlineStr">
        <is>
          <t>Cross-Border Volume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5" t="inlineStr">
        <is>
          <t>High-yield international driver</t>
        </is>
      </c>
    </row>
    <row r="8" ht="22" customHeight="1">
      <c r="A8" s="4" t="inlineStr">
        <is>
          <t>Credentials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5" t="inlineStr">
        <is>
          <t>Network reach</t>
        </is>
      </c>
    </row>
    <row r="9" ht="22" customHeight="1">
      <c r="A9" s="4" t="inlineStr">
        <is>
          <t>Acceptance Locations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5" t="inlineStr">
        <is>
          <t>Merchant acceptance moat</t>
        </is>
      </c>
    </row>
    <row r="10" ht="22" customHeight="1">
      <c r="A10" s="4" t="inlineStr">
        <is>
          <t>Gross Revenue Yield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5" t="inlineStr">
        <is>
          <t>Pre-incentive monetization</t>
        </is>
      </c>
    </row>
    <row r="11" ht="22" customHeight="1">
      <c r="A11" s="4" t="inlineStr">
        <is>
          <t>Net Revenue Yield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5" t="inlineStr">
        <is>
          <t>Post-incentive monetization</t>
        </is>
      </c>
    </row>
    <row r="12" ht="22" customHeight="1">
      <c r="A12" s="4" t="inlineStr">
        <is>
          <t>Client Incentives / Gross Revenue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5" t="inlineStr">
        <is>
          <t>Pricing pressure</t>
        </is>
      </c>
    </row>
    <row r="13" ht="22" customHeight="1">
      <c r="A13" s="4" t="inlineStr">
        <is>
          <t>VAS Revenue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5" t="inlineStr">
        <is>
          <t>Services growth driver</t>
        </is>
      </c>
    </row>
    <row r="14" ht="22" customHeight="1">
      <c r="A14" s="4" t="inlineStr">
        <is>
          <t>VAS % of Net Revenue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5" t="inlineStr">
        <is>
          <t>Mix shift indicator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Revenue Build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Driver-based revenue forecast.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6" t="inlineStr">
        <is>
          <t>$ in millions</t>
        </is>
      </c>
      <c r="B4" s="6" t="inlineStr">
        <is>
          <t>FY2021A</t>
        </is>
      </c>
      <c r="C4" s="6" t="inlineStr">
        <is>
          <t>FY2022A</t>
        </is>
      </c>
      <c r="D4" s="6" t="inlineStr">
        <is>
          <t>FY2023A</t>
        </is>
      </c>
      <c r="E4" s="6" t="inlineStr">
        <is>
          <t>FY2024A</t>
        </is>
      </c>
      <c r="F4" s="6" t="inlineStr">
        <is>
          <t>FY2025A</t>
        </is>
      </c>
      <c r="G4" s="6" t="inlineStr">
        <is>
          <t>FY2026E</t>
        </is>
      </c>
      <c r="H4" s="6" t="inlineStr">
        <is>
          <t>FY2027E</t>
        </is>
      </c>
      <c r="I4" s="6" t="inlineStr">
        <is>
          <t>FY2028E</t>
        </is>
      </c>
    </row>
    <row r="5" ht="22" customHeight="1">
      <c r="A5" s="4" t="inlineStr">
        <is>
          <t>Service Revenue</t>
        </is>
      </c>
      <c r="B5" s="7" t="n"/>
      <c r="C5" s="7" t="n"/>
      <c r="D5" s="7" t="n"/>
      <c r="E5" s="7" t="n"/>
      <c r="F5" s="7" t="n"/>
      <c r="G5" s="7" t="n"/>
      <c r="H5" s="7" t="n"/>
      <c r="I5" s="7" t="n"/>
    </row>
    <row r="6" ht="22" customHeight="1">
      <c r="A6" s="4" t="inlineStr">
        <is>
          <t>Data Processing Revenue</t>
        </is>
      </c>
      <c r="B6" s="7" t="n"/>
      <c r="C6" s="7" t="n"/>
      <c r="D6" s="7" t="n"/>
      <c r="E6" s="7" t="n"/>
      <c r="F6" s="7" t="n"/>
      <c r="G6" s="7" t="n"/>
      <c r="H6" s="7" t="n"/>
      <c r="I6" s="7" t="n"/>
    </row>
    <row r="7" ht="22" customHeight="1">
      <c r="A7" s="4" t="inlineStr">
        <is>
          <t>International Transaction Revenue</t>
        </is>
      </c>
      <c r="B7" s="7" t="n"/>
      <c r="C7" s="7" t="n"/>
      <c r="D7" s="7" t="n"/>
      <c r="E7" s="7" t="n"/>
      <c r="F7" s="7" t="n"/>
      <c r="G7" s="7" t="n"/>
      <c r="H7" s="7" t="n"/>
      <c r="I7" s="7" t="n"/>
    </row>
    <row r="8" ht="22" customHeight="1">
      <c r="A8" s="4" t="inlineStr">
        <is>
          <t>Other Revenue</t>
        </is>
      </c>
      <c r="B8" s="7" t="n"/>
      <c r="C8" s="7" t="n"/>
      <c r="D8" s="7" t="n"/>
      <c r="E8" s="7" t="n"/>
      <c r="F8" s="7" t="n"/>
      <c r="G8" s="7" t="n"/>
      <c r="H8" s="7" t="n"/>
      <c r="I8" s="7" t="n"/>
    </row>
    <row r="9" ht="22" customHeight="1">
      <c r="A9" s="4" t="inlineStr">
        <is>
          <t>Gross Revenue</t>
        </is>
      </c>
      <c r="B9" s="8">
        <f>SUM(B5:B8)</f>
        <v/>
      </c>
      <c r="C9" s="8">
        <f>SUM(C5:C8)</f>
        <v/>
      </c>
      <c r="D9" s="8">
        <f>SUM(D5:D8)</f>
        <v/>
      </c>
      <c r="E9" s="8">
        <f>SUM(E5:E8)</f>
        <v/>
      </c>
      <c r="F9" s="8">
        <f>SUM(F5:F8)</f>
        <v/>
      </c>
      <c r="G9" s="8">
        <f>SUM(G5:G8)</f>
        <v/>
      </c>
      <c r="H9" s="8">
        <f>SUM(H5:H8)</f>
        <v/>
      </c>
      <c r="I9" s="8">
        <f>SUM(I5:I8)</f>
        <v/>
      </c>
    </row>
    <row r="10" ht="22" customHeight="1">
      <c r="A10" s="4" t="inlineStr">
        <is>
          <t>Client Incentives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22" customHeight="1">
      <c r="A11" s="4" t="inlineStr">
        <is>
          <t>Net Revenue</t>
        </is>
      </c>
      <c r="B11" s="8">
        <f>B9-B10</f>
        <v/>
      </c>
      <c r="C11" s="8">
        <f>C9-C10</f>
        <v/>
      </c>
      <c r="D11" s="8">
        <f>D9-D10</f>
        <v/>
      </c>
      <c r="E11" s="8">
        <f>E9-E10</f>
        <v/>
      </c>
      <c r="F11" s="8">
        <f>F9-F10</f>
        <v/>
      </c>
      <c r="G11" s="8">
        <f>G9-G10</f>
        <v/>
      </c>
      <c r="H11" s="8">
        <f>H9-H10</f>
        <v/>
      </c>
      <c r="I11" s="8">
        <f>I9-I10</f>
        <v/>
      </c>
    </row>
    <row r="12" ht="22" customHeight="1">
      <c r="A12" s="4" t="inlineStr">
        <is>
          <t>Net Revenue Growth</t>
        </is>
      </c>
      <c r="B12" s="8" t="n"/>
      <c r="C12" s="8">
        <f>C11/B11-1</f>
        <v/>
      </c>
      <c r="D12" s="8">
        <f>D11/C11-1</f>
        <v/>
      </c>
      <c r="E12" s="8">
        <f>E11/D11-1</f>
        <v/>
      </c>
      <c r="F12" s="8">
        <f>F11/E11-1</f>
        <v/>
      </c>
      <c r="G12" s="8">
        <f>G11/F11-1</f>
        <v/>
      </c>
      <c r="H12" s="8">
        <f>H11/G11-1</f>
        <v/>
      </c>
      <c r="I12" s="8">
        <f>I11/H11-1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Client Incentives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Analyze partner economics and take-rate pressure.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6" t="inlineStr">
        <is>
          <t>Metric</t>
        </is>
      </c>
      <c r="B4" s="6" t="inlineStr">
        <is>
          <t>FY2021A</t>
        </is>
      </c>
      <c r="C4" s="6" t="inlineStr">
        <is>
          <t>FY2022A</t>
        </is>
      </c>
      <c r="D4" s="6" t="inlineStr">
        <is>
          <t>FY2023A</t>
        </is>
      </c>
      <c r="E4" s="6" t="inlineStr">
        <is>
          <t>FY2024A</t>
        </is>
      </c>
      <c r="F4" s="6" t="inlineStr">
        <is>
          <t>FY2025A</t>
        </is>
      </c>
      <c r="G4" s="6" t="inlineStr">
        <is>
          <t>FY2026E</t>
        </is>
      </c>
      <c r="H4" s="6" t="inlineStr">
        <is>
          <t>FY2027E</t>
        </is>
      </c>
      <c r="I4" s="6" t="inlineStr">
        <is>
          <t>FY2028E</t>
        </is>
      </c>
    </row>
    <row r="5" ht="22" customHeight="1">
      <c r="A5" s="4" t="inlineStr">
        <is>
          <t>Gross Revenue</t>
        </is>
      </c>
      <c r="B5" s="8">
        <f>'06_Revenue_Build'!B9</f>
        <v/>
      </c>
      <c r="C5" s="8">
        <f>'06_Revenue_Build'!C9</f>
        <v/>
      </c>
      <c r="D5" s="8">
        <f>'06_Revenue_Build'!D9</f>
        <v/>
      </c>
      <c r="E5" s="8">
        <f>'06_Revenue_Build'!E9</f>
        <v/>
      </c>
      <c r="F5" s="8">
        <f>'06_Revenue_Build'!F9</f>
        <v/>
      </c>
      <c r="G5" s="8">
        <f>'06_Revenue_Build'!G9</f>
        <v/>
      </c>
      <c r="H5" s="8">
        <f>'06_Revenue_Build'!H9</f>
        <v/>
      </c>
      <c r="I5" s="8">
        <f>'06_Revenue_Build'!I9</f>
        <v/>
      </c>
    </row>
    <row r="6" ht="22" customHeight="1">
      <c r="A6" s="4" t="inlineStr">
        <is>
          <t>Client Incentives</t>
        </is>
      </c>
      <c r="B6" s="8">
        <f>'06_Revenue_Build'!B10</f>
        <v/>
      </c>
      <c r="C6" s="8">
        <f>'06_Revenue_Build'!C10</f>
        <v/>
      </c>
      <c r="D6" s="8">
        <f>'06_Revenue_Build'!D10</f>
        <v/>
      </c>
      <c r="E6" s="8">
        <f>'06_Revenue_Build'!E10</f>
        <v/>
      </c>
      <c r="F6" s="8">
        <f>'06_Revenue_Build'!F10</f>
        <v/>
      </c>
      <c r="G6" s="8">
        <f>'06_Revenue_Build'!G10</f>
        <v/>
      </c>
      <c r="H6" s="8">
        <f>'06_Revenue_Build'!H10</f>
        <v/>
      </c>
      <c r="I6" s="8">
        <f>'06_Revenue_Build'!I10</f>
        <v/>
      </c>
    </row>
    <row r="7" ht="22" customHeight="1">
      <c r="A7" s="4" t="inlineStr">
        <is>
          <t>Net Revenue</t>
        </is>
      </c>
      <c r="B7" s="8">
        <f>'06_Revenue_Build'!B11</f>
        <v/>
      </c>
      <c r="C7" s="8">
        <f>'06_Revenue_Build'!C11</f>
        <v/>
      </c>
      <c r="D7" s="8">
        <f>'06_Revenue_Build'!D11</f>
        <v/>
      </c>
      <c r="E7" s="8">
        <f>'06_Revenue_Build'!E11</f>
        <v/>
      </c>
      <c r="F7" s="8">
        <f>'06_Revenue_Build'!F11</f>
        <v/>
      </c>
      <c r="G7" s="8">
        <f>'06_Revenue_Build'!G11</f>
        <v/>
      </c>
      <c r="H7" s="8">
        <f>'06_Revenue_Build'!H11</f>
        <v/>
      </c>
      <c r="I7" s="8">
        <f>'06_Revenue_Build'!I11</f>
        <v/>
      </c>
    </row>
    <row r="8" ht="22" customHeight="1">
      <c r="A8" s="4" t="inlineStr">
        <is>
          <t>Client Incentives / Gross Revenue</t>
        </is>
      </c>
      <c r="B8" s="8">
        <f>B6/B5</f>
        <v/>
      </c>
      <c r="C8" s="8">
        <f>C6/C5</f>
        <v/>
      </c>
      <c r="D8" s="8">
        <f>D6/D5</f>
        <v/>
      </c>
      <c r="E8" s="8">
        <f>E6/E5</f>
        <v/>
      </c>
      <c r="F8" s="8">
        <f>F6/F5</f>
        <v/>
      </c>
      <c r="G8" s="8">
        <f>G6/G5</f>
        <v/>
      </c>
      <c r="H8" s="8">
        <f>H6/H5</f>
        <v/>
      </c>
      <c r="I8" s="8">
        <f>I6/I5</f>
        <v/>
      </c>
    </row>
    <row r="9" ht="22" customHeight="1">
      <c r="A9" s="4" t="inlineStr">
        <is>
          <t>Incremental Incentive Ratio</t>
        </is>
      </c>
      <c r="B9" s="8" t="n"/>
      <c r="C9" s="8">
        <f>(C6-B6)/(C5-B5)</f>
        <v/>
      </c>
      <c r="D9" s="8">
        <f>(D6-C6)/(D5-C5)</f>
        <v/>
      </c>
      <c r="E9" s="8">
        <f>(E6-D6)/(E5-D5)</f>
        <v/>
      </c>
      <c r="F9" s="8">
        <f>(F6-E6)/(F5-E5)</f>
        <v/>
      </c>
      <c r="G9" s="8">
        <f>(G6-F6)/(G5-F5)</f>
        <v/>
      </c>
      <c r="H9" s="8">
        <f>(H6-G6)/(H5-G5)</f>
        <v/>
      </c>
      <c r="I9" s="8">
        <f>(I6-H6)/(I5-H5)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Value-Added Services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Analyze Visa's services growth runway.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6" t="inlineStr">
        <is>
          <t>Metric</t>
        </is>
      </c>
      <c r="B4" s="6" t="inlineStr">
        <is>
          <t>FY2021A</t>
        </is>
      </c>
      <c r="C4" s="6" t="inlineStr">
        <is>
          <t>FY2022A</t>
        </is>
      </c>
      <c r="D4" s="6" t="inlineStr">
        <is>
          <t>FY2023A</t>
        </is>
      </c>
      <c r="E4" s="6" t="inlineStr">
        <is>
          <t>FY2024A</t>
        </is>
      </c>
      <c r="F4" s="6" t="inlineStr">
        <is>
          <t>FY2025A</t>
        </is>
      </c>
      <c r="G4" s="6" t="inlineStr">
        <is>
          <t>FY2026E</t>
        </is>
      </c>
      <c r="H4" s="6" t="inlineStr">
        <is>
          <t>FY2027E</t>
        </is>
      </c>
      <c r="I4" s="6" t="inlineStr">
        <is>
          <t>FY2028E</t>
        </is>
      </c>
    </row>
    <row r="5" ht="22" customHeight="1">
      <c r="A5" s="4" t="inlineStr">
        <is>
          <t>VAS Revenue</t>
        </is>
      </c>
      <c r="B5" s="7" t="n"/>
      <c r="C5" s="7" t="n"/>
      <c r="D5" s="7" t="n"/>
      <c r="E5" s="7" t="n"/>
      <c r="F5" s="7" t="n"/>
      <c r="G5" s="7" t="n"/>
      <c r="H5" s="7" t="n"/>
      <c r="I5" s="7" t="n"/>
    </row>
    <row r="6" ht="22" customHeight="1">
      <c r="A6" s="4" t="inlineStr">
        <is>
          <t>VAS Growth</t>
        </is>
      </c>
      <c r="B6" s="8" t="n"/>
      <c r="C6" s="8">
        <f>C5/B5-1</f>
        <v/>
      </c>
      <c r="D6" s="8">
        <f>D5/C5-1</f>
        <v/>
      </c>
      <c r="E6" s="8">
        <f>E5/D5-1</f>
        <v/>
      </c>
      <c r="F6" s="8">
        <f>F5/E5-1</f>
        <v/>
      </c>
      <c r="G6" s="8">
        <f>G5/F5-1</f>
        <v/>
      </c>
      <c r="H6" s="8">
        <f>H5/G5-1</f>
        <v/>
      </c>
      <c r="I6" s="8">
        <f>I5/H5-1</f>
        <v/>
      </c>
    </row>
    <row r="7" ht="22" customHeight="1">
      <c r="A7" s="4" t="inlineStr">
        <is>
          <t>Net Revenue</t>
        </is>
      </c>
      <c r="B7" s="8">
        <f>'06_Revenue_Build'!B11</f>
        <v/>
      </c>
      <c r="C7" s="8">
        <f>'06_Revenue_Build'!C11</f>
        <v/>
      </c>
      <c r="D7" s="8">
        <f>'06_Revenue_Build'!D11</f>
        <v/>
      </c>
      <c r="E7" s="8">
        <f>'06_Revenue_Build'!E11</f>
        <v/>
      </c>
      <c r="F7" s="8">
        <f>'06_Revenue_Build'!F11</f>
        <v/>
      </c>
      <c r="G7" s="8">
        <f>'06_Revenue_Build'!G11</f>
        <v/>
      </c>
      <c r="H7" s="8">
        <f>'06_Revenue_Build'!H11</f>
        <v/>
      </c>
      <c r="I7" s="8">
        <f>'06_Revenue_Build'!I11</f>
        <v/>
      </c>
    </row>
    <row r="8" ht="22" customHeight="1">
      <c r="A8" s="4" t="inlineStr">
        <is>
          <t>VAS % of Net Revenue</t>
        </is>
      </c>
      <c r="B8" s="8">
        <f>B5/B7</f>
        <v/>
      </c>
      <c r="C8" s="8">
        <f>C5/C7</f>
        <v/>
      </c>
      <c r="D8" s="8">
        <f>D5/D7</f>
        <v/>
      </c>
      <c r="E8" s="8">
        <f>E5/E7</f>
        <v/>
      </c>
      <c r="F8" s="8">
        <f>F5/F7</f>
        <v/>
      </c>
      <c r="G8" s="8">
        <f>G5/G7</f>
        <v/>
      </c>
      <c r="H8" s="8">
        <f>H5/H7</f>
        <v/>
      </c>
      <c r="I8" s="8">
        <f>I5/I7</f>
        <v/>
      </c>
    </row>
    <row r="9" ht="22" customHeight="1">
      <c r="A9" s="4" t="inlineStr">
        <is>
          <t>Illustrative VAS Margin</t>
        </is>
      </c>
      <c r="B9" s="7" t="n"/>
      <c r="C9" s="7" t="n"/>
      <c r="D9" s="7" t="n"/>
      <c r="E9" s="7" t="n"/>
      <c r="F9" s="7" t="n"/>
      <c r="G9" s="7" t="n"/>
      <c r="H9" s="7" t="n"/>
      <c r="I9" s="7" t="n"/>
    </row>
    <row r="10" ht="22" customHeight="1">
      <c r="A10" s="4" t="inlineStr">
        <is>
          <t>Illustrative VAS EBIT</t>
        </is>
      </c>
      <c r="B10" s="8">
        <f>B5*B9</f>
        <v/>
      </c>
      <c r="C10" s="8">
        <f>C5*C9</f>
        <v/>
      </c>
      <c r="D10" s="8">
        <f>D5*D9</f>
        <v/>
      </c>
      <c r="E10" s="8">
        <f>E5*E9</f>
        <v/>
      </c>
      <c r="F10" s="8">
        <f>F5*F9</f>
        <v/>
      </c>
      <c r="G10" s="8">
        <f>G5*G9</f>
        <v/>
      </c>
      <c r="H10" s="8">
        <f>H5*H9</f>
        <v/>
      </c>
      <c r="I10" s="8">
        <f>I5*I9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Cross-Border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High-yield international revenue sensitivity.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6" t="inlineStr">
        <is>
          <t>Metric</t>
        </is>
      </c>
      <c r="B4" s="6" t="inlineStr">
        <is>
          <t>FY2021A</t>
        </is>
      </c>
      <c r="C4" s="6" t="inlineStr">
        <is>
          <t>FY2022A</t>
        </is>
      </c>
      <c r="D4" s="6" t="inlineStr">
        <is>
          <t>FY2023A</t>
        </is>
      </c>
      <c r="E4" s="6" t="inlineStr">
        <is>
          <t>FY2024A</t>
        </is>
      </c>
      <c r="F4" s="6" t="inlineStr">
        <is>
          <t>FY2025A</t>
        </is>
      </c>
      <c r="G4" s="6" t="inlineStr">
        <is>
          <t>FY2026E</t>
        </is>
      </c>
      <c r="H4" s="6" t="inlineStr">
        <is>
          <t>FY2027E</t>
        </is>
      </c>
      <c r="I4" s="6" t="inlineStr">
        <is>
          <t>FY2028E</t>
        </is>
      </c>
    </row>
    <row r="5" ht="22" customHeight="1">
      <c r="A5" s="4" t="inlineStr">
        <is>
          <t>Cross-Border Volume</t>
        </is>
      </c>
      <c r="B5" s="7" t="n"/>
      <c r="C5" s="7" t="n"/>
      <c r="D5" s="7" t="n"/>
      <c r="E5" s="7" t="n"/>
      <c r="F5" s="7" t="n"/>
      <c r="G5" s="7" t="n"/>
      <c r="H5" s="7" t="n"/>
      <c r="I5" s="7" t="n"/>
    </row>
    <row r="6" ht="22" customHeight="1">
      <c r="A6" s="4" t="inlineStr">
        <is>
          <t>Cross-Border Volume Growth</t>
        </is>
      </c>
      <c r="B6" s="8" t="n"/>
      <c r="C6" s="8">
        <f>C5/B5-1</f>
        <v/>
      </c>
      <c r="D6" s="8">
        <f>D5/C5-1</f>
        <v/>
      </c>
      <c r="E6" s="8">
        <f>E5/D5-1</f>
        <v/>
      </c>
      <c r="F6" s="8">
        <f>F5/E5-1</f>
        <v/>
      </c>
      <c r="G6" s="8">
        <f>G5/F5-1</f>
        <v/>
      </c>
      <c r="H6" s="8">
        <f>H5/G5-1</f>
        <v/>
      </c>
      <c r="I6" s="8">
        <f>I5/H5-1</f>
        <v/>
      </c>
    </row>
    <row r="7" ht="22" customHeight="1">
      <c r="A7" s="4" t="inlineStr">
        <is>
          <t>International Transaction Revenue</t>
        </is>
      </c>
      <c r="B7" s="7" t="n"/>
      <c r="C7" s="7" t="n"/>
      <c r="D7" s="7" t="n"/>
      <c r="E7" s="7" t="n"/>
      <c r="F7" s="7" t="n"/>
      <c r="G7" s="7" t="n"/>
      <c r="H7" s="7" t="n"/>
      <c r="I7" s="7" t="n"/>
    </row>
    <row r="8" ht="22" customHeight="1">
      <c r="A8" s="4" t="inlineStr">
        <is>
          <t>International Revenue Growth</t>
        </is>
      </c>
      <c r="B8" s="8" t="n"/>
      <c r="C8" s="8">
        <f>C7/B7-1</f>
        <v/>
      </c>
      <c r="D8" s="8">
        <f>D7/C7-1</f>
        <v/>
      </c>
      <c r="E8" s="8">
        <f>E7/D7-1</f>
        <v/>
      </c>
      <c r="F8" s="8">
        <f>F7/E7-1</f>
        <v/>
      </c>
      <c r="G8" s="8">
        <f>G7/F7-1</f>
        <v/>
      </c>
      <c r="H8" s="8">
        <f>H7/G7-1</f>
        <v/>
      </c>
      <c r="I8" s="8">
        <f>I7/H7-1</f>
        <v/>
      </c>
    </row>
    <row r="9" ht="22" customHeight="1">
      <c r="A9" s="4" t="inlineStr">
        <is>
          <t>International Revenue Yield</t>
        </is>
      </c>
      <c r="B9" s="8">
        <f>B7/B5</f>
        <v/>
      </c>
      <c r="C9" s="8">
        <f>C7/C5</f>
        <v/>
      </c>
      <c r="D9" s="8">
        <f>D7/D5</f>
        <v/>
      </c>
      <c r="E9" s="8">
        <f>E7/E5</f>
        <v/>
      </c>
      <c r="F9" s="8">
        <f>F7/F5</f>
        <v/>
      </c>
      <c r="G9" s="8">
        <f>G7/G5</f>
        <v/>
      </c>
      <c r="H9" s="8">
        <f>H7/H5</f>
        <v/>
      </c>
      <c r="I9" s="8">
        <f>I7/I5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Operating Expense Build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Forecast expenses and operating leverage.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6" t="inlineStr">
        <is>
          <t>$ in millions</t>
        </is>
      </c>
      <c r="B4" s="6" t="inlineStr">
        <is>
          <t>FY2021A</t>
        </is>
      </c>
      <c r="C4" s="6" t="inlineStr">
        <is>
          <t>FY2022A</t>
        </is>
      </c>
      <c r="D4" s="6" t="inlineStr">
        <is>
          <t>FY2023A</t>
        </is>
      </c>
      <c r="E4" s="6" t="inlineStr">
        <is>
          <t>FY2024A</t>
        </is>
      </c>
      <c r="F4" s="6" t="inlineStr">
        <is>
          <t>FY2025A</t>
        </is>
      </c>
      <c r="G4" s="6" t="inlineStr">
        <is>
          <t>FY2026E</t>
        </is>
      </c>
      <c r="H4" s="6" t="inlineStr">
        <is>
          <t>FY2027E</t>
        </is>
      </c>
      <c r="I4" s="6" t="inlineStr">
        <is>
          <t>FY2028E</t>
        </is>
      </c>
    </row>
    <row r="5" ht="22" customHeight="1">
      <c r="A5" s="4" t="inlineStr">
        <is>
          <t>Net Revenue</t>
        </is>
      </c>
      <c r="B5" s="8">
        <f>'06_Revenue_Build'!B11</f>
        <v/>
      </c>
      <c r="C5" s="8">
        <f>'06_Revenue_Build'!C11</f>
        <v/>
      </c>
      <c r="D5" s="8">
        <f>'06_Revenue_Build'!D11</f>
        <v/>
      </c>
      <c r="E5" s="8">
        <f>'06_Revenue_Build'!E11</f>
        <v/>
      </c>
      <c r="F5" s="8">
        <f>'06_Revenue_Build'!F11</f>
        <v/>
      </c>
      <c r="G5" s="8">
        <f>'06_Revenue_Build'!G11</f>
        <v/>
      </c>
      <c r="H5" s="8">
        <f>'06_Revenue_Build'!H11</f>
        <v/>
      </c>
      <c r="I5" s="8">
        <f>'06_Revenue_Build'!I11</f>
        <v/>
      </c>
    </row>
    <row r="6" ht="22" customHeight="1">
      <c r="A6" s="4" t="inlineStr">
        <is>
          <t>Personnel</t>
        </is>
      </c>
      <c r="B6" s="7" t="n"/>
      <c r="C6" s="7" t="n"/>
      <c r="D6" s="7" t="n"/>
      <c r="E6" s="7" t="n"/>
      <c r="F6" s="7" t="n"/>
      <c r="G6" s="7" t="n"/>
      <c r="H6" s="7" t="n"/>
      <c r="I6" s="7" t="n"/>
    </row>
    <row r="7" ht="22" customHeight="1">
      <c r="A7" s="4" t="inlineStr">
        <is>
          <t>Marketing</t>
        </is>
      </c>
      <c r="B7" s="7" t="n"/>
      <c r="C7" s="7" t="n"/>
      <c r="D7" s="7" t="n"/>
      <c r="E7" s="7" t="n"/>
      <c r="F7" s="7" t="n"/>
      <c r="G7" s="7" t="n"/>
      <c r="H7" s="7" t="n"/>
      <c r="I7" s="7" t="n"/>
    </row>
    <row r="8" ht="22" customHeight="1">
      <c r="A8" s="4" t="inlineStr">
        <is>
          <t>Network and Processing</t>
        </is>
      </c>
      <c r="B8" s="7" t="n"/>
      <c r="C8" s="7" t="n"/>
      <c r="D8" s="7" t="n"/>
      <c r="E8" s="7" t="n"/>
      <c r="F8" s="7" t="n"/>
      <c r="G8" s="7" t="n"/>
      <c r="H8" s="7" t="n"/>
      <c r="I8" s="7" t="n"/>
    </row>
    <row r="9" ht="22" customHeight="1">
      <c r="A9" s="4" t="inlineStr">
        <is>
          <t>Professional Fees</t>
        </is>
      </c>
      <c r="B9" s="7" t="n"/>
      <c r="C9" s="7" t="n"/>
      <c r="D9" s="7" t="n"/>
      <c r="E9" s="7" t="n"/>
      <c r="F9" s="7" t="n"/>
      <c r="G9" s="7" t="n"/>
      <c r="H9" s="7" t="n"/>
      <c r="I9" s="7" t="n"/>
    </row>
    <row r="10" ht="22" customHeight="1">
      <c r="A10" s="4" t="inlineStr">
        <is>
          <t>G&amp;A / Other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22" customHeight="1">
      <c r="A11" s="4" t="inlineStr">
        <is>
          <t>Total Operating Expenses</t>
        </is>
      </c>
      <c r="B11" s="8">
        <f>SUM(B6:B10)</f>
        <v/>
      </c>
      <c r="C11" s="8">
        <f>SUM(C6:C10)</f>
        <v/>
      </c>
      <c r="D11" s="8">
        <f>SUM(D6:D10)</f>
        <v/>
      </c>
      <c r="E11" s="8">
        <f>SUM(E6:E10)</f>
        <v/>
      </c>
      <c r="F11" s="8">
        <f>SUM(F6:F10)</f>
        <v/>
      </c>
      <c r="G11" s="8">
        <f>SUM(G6:G10)</f>
        <v/>
      </c>
      <c r="H11" s="8">
        <f>SUM(H6:H10)</f>
        <v/>
      </c>
      <c r="I11" s="8">
        <f>SUM(I6:I10)</f>
        <v/>
      </c>
    </row>
    <row r="12" ht="22" customHeight="1">
      <c r="A12" s="4" t="inlineStr">
        <is>
          <t>Operating Income</t>
        </is>
      </c>
      <c r="B12" s="8">
        <f>B5-B11</f>
        <v/>
      </c>
      <c r="C12" s="8">
        <f>C5-C11</f>
        <v/>
      </c>
      <c r="D12" s="8">
        <f>D5-D11</f>
        <v/>
      </c>
      <c r="E12" s="8">
        <f>E5-E11</f>
        <v/>
      </c>
      <c r="F12" s="8">
        <f>F5-F11</f>
        <v/>
      </c>
      <c r="G12" s="8">
        <f>G5-G11</f>
        <v/>
      </c>
      <c r="H12" s="8">
        <f>H5-H11</f>
        <v/>
      </c>
      <c r="I12" s="8">
        <f>I5-I11</f>
        <v/>
      </c>
    </row>
    <row r="13" ht="22" customHeight="1">
      <c r="A13" s="4" t="inlineStr">
        <is>
          <t>Operating Margin</t>
        </is>
      </c>
      <c r="B13" s="8">
        <f>B12/B5</f>
        <v/>
      </c>
      <c r="C13" s="8">
        <f>C12/C5</f>
        <v/>
      </c>
      <c r="D13" s="8">
        <f>D12/D5</f>
        <v/>
      </c>
      <c r="E13" s="8">
        <f>E12/E5</f>
        <v/>
      </c>
      <c r="F13" s="8">
        <f>F12/F5</f>
        <v/>
      </c>
      <c r="G13" s="8">
        <f>G12/G5</f>
        <v/>
      </c>
      <c r="H13" s="8">
        <f>H12/H5</f>
        <v/>
      </c>
      <c r="I13" s="8">
        <f>I12/I5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Operating Margin Walk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Bridge current margin to forecast margin.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6" t="inlineStr">
        <is>
          <t>Driver</t>
        </is>
      </c>
      <c r="B4" s="6" t="inlineStr">
        <is>
          <t>Margin Impact</t>
        </is>
      </c>
      <c r="C4" s="6" t="inlineStr">
        <is>
          <t>Commentary</t>
        </is>
      </c>
      <c r="D4" s="2" t="n"/>
      <c r="E4" s="2" t="n"/>
      <c r="F4" s="2" t="n"/>
      <c r="G4" s="2" t="n"/>
      <c r="H4" s="2" t="n"/>
    </row>
    <row r="5" ht="22" customHeight="1">
      <c r="A5" s="4" t="inlineStr">
        <is>
          <t>FY2025 Operating Margin</t>
        </is>
      </c>
      <c r="B5" s="7" t="inlineStr"/>
      <c r="C5" s="5" t="inlineStr">
        <is>
          <t>Starting point</t>
        </is>
      </c>
      <c r="D5" s="2" t="n"/>
      <c r="E5" s="2" t="n"/>
      <c r="F5" s="2" t="n"/>
      <c r="G5" s="2" t="n"/>
      <c r="H5" s="2" t="n"/>
    </row>
    <row r="6" ht="22" customHeight="1">
      <c r="A6" s="4" t="inlineStr">
        <is>
          <t>Volume Growth / Scale</t>
        </is>
      </c>
      <c r="B6" s="7" t="inlineStr"/>
      <c r="C6" s="5" t="inlineStr">
        <is>
          <t>Operating leverage</t>
        </is>
      </c>
      <c r="D6" s="2" t="n"/>
      <c r="E6" s="2" t="n"/>
      <c r="F6" s="2" t="n"/>
      <c r="G6" s="2" t="n"/>
      <c r="H6" s="2" t="n"/>
    </row>
    <row r="7" ht="22" customHeight="1">
      <c r="A7" s="4" t="inlineStr">
        <is>
          <t>VAS Mix</t>
        </is>
      </c>
      <c r="B7" s="7" t="inlineStr"/>
      <c r="C7" s="5" t="inlineStr">
        <is>
          <t>Services contribution</t>
        </is>
      </c>
      <c r="D7" s="2" t="n"/>
      <c r="E7" s="2" t="n"/>
      <c r="F7" s="2" t="n"/>
      <c r="G7" s="2" t="n"/>
      <c r="H7" s="2" t="n"/>
    </row>
    <row r="8" ht="22" customHeight="1">
      <c r="A8" s="4" t="inlineStr">
        <is>
          <t>Client Incentives</t>
        </is>
      </c>
      <c r="B8" s="7" t="inlineStr"/>
      <c r="C8" s="5" t="inlineStr">
        <is>
          <t>Partner economics pressure</t>
        </is>
      </c>
      <c r="D8" s="2" t="n"/>
      <c r="E8" s="2" t="n"/>
      <c r="F8" s="2" t="n"/>
      <c r="G8" s="2" t="n"/>
      <c r="H8" s="2" t="n"/>
    </row>
    <row r="9" ht="22" customHeight="1">
      <c r="A9" s="4" t="inlineStr">
        <is>
          <t>Technology Investment</t>
        </is>
      </c>
      <c r="B9" s="7" t="inlineStr"/>
      <c r="C9" s="5" t="inlineStr">
        <is>
          <t>Product and security investment</t>
        </is>
      </c>
      <c r="D9" s="2" t="n"/>
      <c r="E9" s="2" t="n"/>
      <c r="F9" s="2" t="n"/>
      <c r="G9" s="2" t="n"/>
      <c r="H9" s="2" t="n"/>
    </row>
    <row r="10" ht="22" customHeight="1">
      <c r="A10" s="4" t="inlineStr">
        <is>
          <t>Regulatory / Litigation</t>
        </is>
      </c>
      <c r="B10" s="7" t="inlineStr"/>
      <c r="C10" s="5" t="inlineStr">
        <is>
          <t>Legal and compliance burden</t>
        </is>
      </c>
      <c r="D10" s="2" t="n"/>
      <c r="E10" s="2" t="n"/>
      <c r="F10" s="2" t="n"/>
      <c r="G10" s="2" t="n"/>
      <c r="H10" s="2" t="n"/>
    </row>
    <row r="11" ht="22" customHeight="1">
      <c r="A11" s="4" t="inlineStr">
        <is>
          <t>FY2028E Operating Margin</t>
        </is>
      </c>
      <c r="B11" s="8">
        <f>SUM(B5:B10)</f>
        <v/>
      </c>
      <c r="C11" s="5" t="inlineStr">
        <is>
          <t>Ending margin</t>
        </is>
      </c>
      <c r="D11" s="2" t="n"/>
      <c r="E11" s="2" t="n"/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Tax, D&amp;A, Capex, and Working Capital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Core free cash flow forecast assumptions.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6" t="inlineStr">
        <is>
          <t>Metric</t>
        </is>
      </c>
      <c r="B4" s="6" t="inlineStr">
        <is>
          <t>FY2021A</t>
        </is>
      </c>
      <c r="C4" s="6" t="inlineStr">
        <is>
          <t>FY2022A</t>
        </is>
      </c>
      <c r="D4" s="6" t="inlineStr">
        <is>
          <t>FY2023A</t>
        </is>
      </c>
      <c r="E4" s="6" t="inlineStr">
        <is>
          <t>FY2024A</t>
        </is>
      </c>
      <c r="F4" s="6" t="inlineStr">
        <is>
          <t>FY2025A</t>
        </is>
      </c>
      <c r="G4" s="6" t="inlineStr">
        <is>
          <t>FY2026E</t>
        </is>
      </c>
      <c r="H4" s="6" t="inlineStr">
        <is>
          <t>FY2027E</t>
        </is>
      </c>
      <c r="I4" s="6" t="inlineStr">
        <is>
          <t>FY2028E</t>
        </is>
      </c>
    </row>
    <row r="5" ht="22" customHeight="1">
      <c r="A5" s="4" t="inlineStr">
        <is>
          <t>Operating Income</t>
        </is>
      </c>
      <c r="B5" s="8">
        <f>'10_Operating_Expense_Build'!B12</f>
        <v/>
      </c>
      <c r="C5" s="8">
        <f>'10_Operating_Expense_Build'!C12</f>
        <v/>
      </c>
      <c r="D5" s="8">
        <f>'10_Operating_Expense_Build'!D12</f>
        <v/>
      </c>
      <c r="E5" s="8">
        <f>'10_Operating_Expense_Build'!E12</f>
        <v/>
      </c>
      <c r="F5" s="8">
        <f>'10_Operating_Expense_Build'!F12</f>
        <v/>
      </c>
      <c r="G5" s="8">
        <f>'10_Operating_Expense_Build'!G12</f>
        <v/>
      </c>
      <c r="H5" s="8">
        <f>'10_Operating_Expense_Build'!H12</f>
        <v/>
      </c>
      <c r="I5" s="8">
        <f>'10_Operating_Expense_Build'!I12</f>
        <v/>
      </c>
    </row>
    <row r="6" ht="22" customHeight="1">
      <c r="A6" s="4" t="inlineStr">
        <is>
          <t>Tax Rate</t>
        </is>
      </c>
      <c r="B6" s="7" t="n"/>
      <c r="C6" s="7" t="n"/>
      <c r="D6" s="7" t="n"/>
      <c r="E6" s="7" t="n"/>
      <c r="F6" s="7" t="n"/>
      <c r="G6" s="7" t="n"/>
      <c r="H6" s="7" t="n"/>
      <c r="I6" s="7" t="n"/>
    </row>
    <row r="7" ht="22" customHeight="1">
      <c r="A7" s="4" t="inlineStr">
        <is>
          <t>NOPAT</t>
        </is>
      </c>
      <c r="B7" s="8">
        <f>B5*(1-B6)</f>
        <v/>
      </c>
      <c r="C7" s="8">
        <f>C5*(1-C6)</f>
        <v/>
      </c>
      <c r="D7" s="8">
        <f>D5*(1-D6)</f>
        <v/>
      </c>
      <c r="E7" s="8">
        <f>E5*(1-E6)</f>
        <v/>
      </c>
      <c r="F7" s="8">
        <f>F5*(1-F6)</f>
        <v/>
      </c>
      <c r="G7" s="8">
        <f>G5*(1-G6)</f>
        <v/>
      </c>
      <c r="H7" s="8">
        <f>H5*(1-H6)</f>
        <v/>
      </c>
      <c r="I7" s="8">
        <f>I5*(1-I6)</f>
        <v/>
      </c>
    </row>
    <row r="8" ht="22" customHeight="1">
      <c r="A8" s="4" t="inlineStr">
        <is>
          <t>D&amp;A</t>
        </is>
      </c>
      <c r="B8" s="7" t="n"/>
      <c r="C8" s="7" t="n"/>
      <c r="D8" s="7" t="n"/>
      <c r="E8" s="7" t="n"/>
      <c r="F8" s="7" t="n"/>
      <c r="G8" s="7" t="n"/>
      <c r="H8" s="7" t="n"/>
      <c r="I8" s="7" t="n"/>
    </row>
    <row r="9" ht="22" customHeight="1">
      <c r="A9" s="4" t="inlineStr">
        <is>
          <t>D&amp;A % Revenue</t>
        </is>
      </c>
      <c r="B9" s="8">
        <f>B8/'06_Revenue_Build'!B11</f>
        <v/>
      </c>
      <c r="C9" s="8">
        <f>C8/'06_Revenue_Build'!C11</f>
        <v/>
      </c>
      <c r="D9" s="8">
        <f>D8/'06_Revenue_Build'!D11</f>
        <v/>
      </c>
      <c r="E9" s="8">
        <f>E8/'06_Revenue_Build'!E11</f>
        <v/>
      </c>
      <c r="F9" s="8">
        <f>F8/'06_Revenue_Build'!F11</f>
        <v/>
      </c>
      <c r="G9" s="8">
        <f>G8/'06_Revenue_Build'!G11</f>
        <v/>
      </c>
      <c r="H9" s="8">
        <f>H8/'06_Revenue_Build'!H11</f>
        <v/>
      </c>
      <c r="I9" s="8">
        <f>I8/'06_Revenue_Build'!I11</f>
        <v/>
      </c>
    </row>
    <row r="10" ht="22" customHeight="1">
      <c r="A10" s="4" t="inlineStr">
        <is>
          <t>Capex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22" customHeight="1">
      <c r="A11" s="4" t="inlineStr">
        <is>
          <t>Capex % Revenue</t>
        </is>
      </c>
      <c r="B11" s="8">
        <f>B10/'06_Revenue_Build'!B11</f>
        <v/>
      </c>
      <c r="C11" s="8">
        <f>C10/'06_Revenue_Build'!C11</f>
        <v/>
      </c>
      <c r="D11" s="8">
        <f>D10/'06_Revenue_Build'!D11</f>
        <v/>
      </c>
      <c r="E11" s="8">
        <f>E10/'06_Revenue_Build'!E11</f>
        <v/>
      </c>
      <c r="F11" s="8">
        <f>F10/'06_Revenue_Build'!F11</f>
        <v/>
      </c>
      <c r="G11" s="8">
        <f>G10/'06_Revenue_Build'!G11</f>
        <v/>
      </c>
      <c r="H11" s="8">
        <f>H10/'06_Revenue_Build'!H11</f>
        <v/>
      </c>
      <c r="I11" s="8">
        <f>I10/'06_Revenue_Build'!I11</f>
        <v/>
      </c>
    </row>
    <row r="12" ht="22" customHeight="1">
      <c r="A12" s="4" t="inlineStr">
        <is>
          <t>Change in NWC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22" customHeight="1">
      <c r="A13" s="4" t="inlineStr">
        <is>
          <t>NWC % Revenue</t>
        </is>
      </c>
      <c r="B13" s="8">
        <f>B12/'06_Revenue_Build'!B11</f>
        <v/>
      </c>
      <c r="C13" s="8">
        <f>C12/'06_Revenue_Build'!C11</f>
        <v/>
      </c>
      <c r="D13" s="8">
        <f>D12/'06_Revenue_Build'!D11</f>
        <v/>
      </c>
      <c r="E13" s="8">
        <f>E12/'06_Revenue_Build'!E11</f>
        <v/>
      </c>
      <c r="F13" s="8">
        <f>F12/'06_Revenue_Build'!F11</f>
        <v/>
      </c>
      <c r="G13" s="8">
        <f>G12/'06_Revenue_Build'!G11</f>
        <v/>
      </c>
      <c r="H13" s="8">
        <f>H12/'06_Revenue_Build'!H11</f>
        <v/>
      </c>
      <c r="I13" s="8">
        <f>I12/'06_Revenue_Build'!I11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Unlevered Free Cash Flow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DCF cash flow build.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6" t="inlineStr">
        <is>
          <t>$ in millions</t>
        </is>
      </c>
      <c r="B4" s="6" t="inlineStr">
        <is>
          <t>FY2021A</t>
        </is>
      </c>
      <c r="C4" s="6" t="inlineStr">
        <is>
          <t>FY2022A</t>
        </is>
      </c>
      <c r="D4" s="6" t="inlineStr">
        <is>
          <t>FY2023A</t>
        </is>
      </c>
      <c r="E4" s="6" t="inlineStr">
        <is>
          <t>FY2024A</t>
        </is>
      </c>
      <c r="F4" s="6" t="inlineStr">
        <is>
          <t>FY2025A</t>
        </is>
      </c>
      <c r="G4" s="6" t="inlineStr">
        <is>
          <t>FY2026E</t>
        </is>
      </c>
      <c r="H4" s="6" t="inlineStr">
        <is>
          <t>FY2027E</t>
        </is>
      </c>
      <c r="I4" s="6" t="inlineStr">
        <is>
          <t>FY2028E</t>
        </is>
      </c>
    </row>
    <row r="5" ht="22" customHeight="1">
      <c r="A5" s="4" t="inlineStr">
        <is>
          <t>NOPAT</t>
        </is>
      </c>
      <c r="B5" s="8">
        <f>'12_Tax_DA_Capex_NWC'!B7</f>
        <v/>
      </c>
      <c r="C5" s="8">
        <f>'12_Tax_DA_Capex_NWC'!C7</f>
        <v/>
      </c>
      <c r="D5" s="8">
        <f>'12_Tax_DA_Capex_NWC'!D7</f>
        <v/>
      </c>
      <c r="E5" s="8">
        <f>'12_Tax_DA_Capex_NWC'!E7</f>
        <v/>
      </c>
      <c r="F5" s="8">
        <f>'12_Tax_DA_Capex_NWC'!F7</f>
        <v/>
      </c>
      <c r="G5" s="8">
        <f>'12_Tax_DA_Capex_NWC'!G7</f>
        <v/>
      </c>
      <c r="H5" s="8">
        <f>'12_Tax_DA_Capex_NWC'!H7</f>
        <v/>
      </c>
      <c r="I5" s="8">
        <f>'12_Tax_DA_Capex_NWC'!I7</f>
        <v/>
      </c>
    </row>
    <row r="6" ht="22" customHeight="1">
      <c r="A6" s="4" t="inlineStr">
        <is>
          <t>D&amp;A</t>
        </is>
      </c>
      <c r="B6" s="8">
        <f>'12_Tax_DA_Capex_NWC'!B8</f>
        <v/>
      </c>
      <c r="C6" s="8">
        <f>'12_Tax_DA_Capex_NWC'!C8</f>
        <v/>
      </c>
      <c r="D6" s="8">
        <f>'12_Tax_DA_Capex_NWC'!D8</f>
        <v/>
      </c>
      <c r="E6" s="8">
        <f>'12_Tax_DA_Capex_NWC'!E8</f>
        <v/>
      </c>
      <c r="F6" s="8">
        <f>'12_Tax_DA_Capex_NWC'!F8</f>
        <v/>
      </c>
      <c r="G6" s="8">
        <f>'12_Tax_DA_Capex_NWC'!G8</f>
        <v/>
      </c>
      <c r="H6" s="8">
        <f>'12_Tax_DA_Capex_NWC'!H8</f>
        <v/>
      </c>
      <c r="I6" s="8">
        <f>'12_Tax_DA_Capex_NWC'!I8</f>
        <v/>
      </c>
    </row>
    <row r="7" ht="22" customHeight="1">
      <c r="A7" s="4" t="inlineStr">
        <is>
          <t>Capital Expenditures</t>
        </is>
      </c>
      <c r="B7" s="8">
        <f>'12_Tax_DA_Capex_NWC'!B10</f>
        <v/>
      </c>
      <c r="C7" s="8">
        <f>'12_Tax_DA_Capex_NWC'!C10</f>
        <v/>
      </c>
      <c r="D7" s="8">
        <f>'12_Tax_DA_Capex_NWC'!D10</f>
        <v/>
      </c>
      <c r="E7" s="8">
        <f>'12_Tax_DA_Capex_NWC'!E10</f>
        <v/>
      </c>
      <c r="F7" s="8">
        <f>'12_Tax_DA_Capex_NWC'!F10</f>
        <v/>
      </c>
      <c r="G7" s="8">
        <f>'12_Tax_DA_Capex_NWC'!G10</f>
        <v/>
      </c>
      <c r="H7" s="8">
        <f>'12_Tax_DA_Capex_NWC'!H10</f>
        <v/>
      </c>
      <c r="I7" s="8">
        <f>'12_Tax_DA_Capex_NWC'!I10</f>
        <v/>
      </c>
    </row>
    <row r="8" ht="22" customHeight="1">
      <c r="A8" s="4" t="inlineStr">
        <is>
          <t>Change in NWC</t>
        </is>
      </c>
      <c r="B8" s="8">
        <f>'12_Tax_DA_Capex_NWC'!B12</f>
        <v/>
      </c>
      <c r="C8" s="8">
        <f>'12_Tax_DA_Capex_NWC'!C12</f>
        <v/>
      </c>
      <c r="D8" s="8">
        <f>'12_Tax_DA_Capex_NWC'!D12</f>
        <v/>
      </c>
      <c r="E8" s="8">
        <f>'12_Tax_DA_Capex_NWC'!E12</f>
        <v/>
      </c>
      <c r="F8" s="8">
        <f>'12_Tax_DA_Capex_NWC'!F12</f>
        <v/>
      </c>
      <c r="G8" s="8">
        <f>'12_Tax_DA_Capex_NWC'!G12</f>
        <v/>
      </c>
      <c r="H8" s="8">
        <f>'12_Tax_DA_Capex_NWC'!H12</f>
        <v/>
      </c>
      <c r="I8" s="8">
        <f>'12_Tax_DA_Capex_NWC'!I12</f>
        <v/>
      </c>
    </row>
    <row r="9" ht="22" customHeight="1">
      <c r="A9" s="4" t="inlineStr">
        <is>
          <t>Unlevered FCF</t>
        </is>
      </c>
      <c r="B9" s="8">
        <f>B5+B6-B7-B8</f>
        <v/>
      </c>
      <c r="C9" s="8">
        <f>C5+C6-C7-C8</f>
        <v/>
      </c>
      <c r="D9" s="8">
        <f>D5+D6-D7-D8</f>
        <v/>
      </c>
      <c r="E9" s="8">
        <f>E5+E6-E7-E8</f>
        <v/>
      </c>
      <c r="F9" s="8">
        <f>F5+F6-F7-F8</f>
        <v/>
      </c>
      <c r="G9" s="8">
        <f>G5+G6-G7-G8</f>
        <v/>
      </c>
      <c r="H9" s="8">
        <f>H5+H6-H7-H8</f>
        <v/>
      </c>
      <c r="I9" s="8">
        <f>I5+I6-I7-I8</f>
        <v/>
      </c>
    </row>
    <row r="10" ht="22" customHeight="1">
      <c r="A10" s="4" t="inlineStr">
        <is>
          <t>FCF Margin</t>
        </is>
      </c>
      <c r="B10" s="8">
        <f>B9/'06_Revenue_Build'!B11</f>
        <v/>
      </c>
      <c r="C10" s="8">
        <f>C9/'06_Revenue_Build'!C11</f>
        <v/>
      </c>
      <c r="D10" s="8">
        <f>D9/'06_Revenue_Build'!D11</f>
        <v/>
      </c>
      <c r="E10" s="8">
        <f>E9/'06_Revenue_Build'!E11</f>
        <v/>
      </c>
      <c r="F10" s="8">
        <f>F9/'06_Revenue_Build'!F11</f>
        <v/>
      </c>
      <c r="G10" s="8">
        <f>G9/'06_Revenue_Build'!G11</f>
        <v/>
      </c>
      <c r="H10" s="8">
        <f>H9/'06_Revenue_Build'!H11</f>
        <v/>
      </c>
      <c r="I10" s="8">
        <f>I9/'06_Revenue_Build'!I11</f>
        <v/>
      </c>
    </row>
    <row r="11" ht="22" customHeight="1">
      <c r="A11" s="4" t="inlineStr">
        <is>
          <t>FCF Growth</t>
        </is>
      </c>
      <c r="B11" s="8" t="n"/>
      <c r="C11" s="8">
        <f>C9/B9-1</f>
        <v/>
      </c>
      <c r="D11" s="8">
        <f>D9/C9-1</f>
        <v/>
      </c>
      <c r="E11" s="8">
        <f>E9/D9-1</f>
        <v/>
      </c>
      <c r="F11" s="8">
        <f>F9/E9-1</f>
        <v/>
      </c>
      <c r="G11" s="8">
        <f>G9/F9-1</f>
        <v/>
      </c>
      <c r="H11" s="8">
        <f>H9/G9-1</f>
        <v/>
      </c>
      <c r="I11" s="8">
        <f>I9/H9-1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Share Count and Buybacks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Model EPS accretion from capital return.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6" t="inlineStr">
        <is>
          <t>Metric</t>
        </is>
      </c>
      <c r="B4" s="6" t="inlineStr">
        <is>
          <t>FY2021A</t>
        </is>
      </c>
      <c r="C4" s="6" t="inlineStr">
        <is>
          <t>FY2022A</t>
        </is>
      </c>
      <c r="D4" s="6" t="inlineStr">
        <is>
          <t>FY2023A</t>
        </is>
      </c>
      <c r="E4" s="6" t="inlineStr">
        <is>
          <t>FY2024A</t>
        </is>
      </c>
      <c r="F4" s="6" t="inlineStr">
        <is>
          <t>FY2025A</t>
        </is>
      </c>
      <c r="G4" s="6" t="inlineStr">
        <is>
          <t>FY2026E</t>
        </is>
      </c>
      <c r="H4" s="6" t="inlineStr">
        <is>
          <t>FY2027E</t>
        </is>
      </c>
      <c r="I4" s="6" t="inlineStr">
        <is>
          <t>FY2028E</t>
        </is>
      </c>
    </row>
    <row r="5" ht="22" customHeight="1">
      <c r="A5" s="4" t="inlineStr">
        <is>
          <t>Beginning Diluted Shares</t>
        </is>
      </c>
      <c r="B5" s="7" t="n"/>
      <c r="C5" s="7" t="n"/>
      <c r="D5" s="7" t="n"/>
      <c r="E5" s="7" t="n"/>
      <c r="F5" s="7" t="n"/>
      <c r="G5" s="7" t="n"/>
      <c r="H5" s="7" t="n"/>
      <c r="I5" s="7" t="n"/>
    </row>
    <row r="6" ht="22" customHeight="1">
      <c r="A6" s="4" t="inlineStr">
        <is>
          <t>Repurchase Dollars</t>
        </is>
      </c>
      <c r="B6" s="7" t="n"/>
      <c r="C6" s="7" t="n"/>
      <c r="D6" s="7" t="n"/>
      <c r="E6" s="7" t="n"/>
      <c r="F6" s="7" t="n"/>
      <c r="G6" s="7" t="n"/>
      <c r="H6" s="7" t="n"/>
      <c r="I6" s="7" t="n"/>
    </row>
    <row r="7" ht="22" customHeight="1">
      <c r="A7" s="4" t="inlineStr">
        <is>
          <t>Average Repurchase Price</t>
        </is>
      </c>
      <c r="B7" s="7" t="n"/>
      <c r="C7" s="7" t="n"/>
      <c r="D7" s="7" t="n"/>
      <c r="E7" s="7" t="n"/>
      <c r="F7" s="7" t="n"/>
      <c r="G7" s="7" t="n"/>
      <c r="H7" s="7" t="n"/>
      <c r="I7" s="7" t="n"/>
    </row>
    <row r="8" ht="22" customHeight="1">
      <c r="A8" s="4" t="inlineStr">
        <is>
          <t>Shares Retired</t>
        </is>
      </c>
      <c r="B8" s="8">
        <f>B6/B7</f>
        <v/>
      </c>
      <c r="C8" s="8">
        <f>C6/C7</f>
        <v/>
      </c>
      <c r="D8" s="8">
        <f>D6/D7</f>
        <v/>
      </c>
      <c r="E8" s="8">
        <f>E6/E7</f>
        <v/>
      </c>
      <c r="F8" s="8">
        <f>F6/F7</f>
        <v/>
      </c>
      <c r="G8" s="8">
        <f>G6/G7</f>
        <v/>
      </c>
      <c r="H8" s="8">
        <f>H6/H7</f>
        <v/>
      </c>
      <c r="I8" s="8">
        <f>I6/I7</f>
        <v/>
      </c>
    </row>
    <row r="9" ht="22" customHeight="1">
      <c r="A9" s="4" t="inlineStr">
        <is>
          <t>SBC / Other</t>
        </is>
      </c>
      <c r="B9" s="7" t="n"/>
      <c r="C9" s="7" t="n"/>
      <c r="D9" s="7" t="n"/>
      <c r="E9" s="7" t="n"/>
      <c r="F9" s="7" t="n"/>
      <c r="G9" s="7" t="n"/>
      <c r="H9" s="7" t="n"/>
      <c r="I9" s="7" t="n"/>
    </row>
    <row r="10" ht="22" customHeight="1">
      <c r="A10" s="4" t="inlineStr">
        <is>
          <t>Ending Diluted Shares</t>
        </is>
      </c>
      <c r="B10" s="8">
        <f>B5-B8+B9</f>
        <v/>
      </c>
      <c r="C10" s="8">
        <f>C5-C8+C9</f>
        <v/>
      </c>
      <c r="D10" s="8">
        <f>D5-D8+D9</f>
        <v/>
      </c>
      <c r="E10" s="8">
        <f>E5-E8+E9</f>
        <v/>
      </c>
      <c r="F10" s="8">
        <f>F5-F8+F9</f>
        <v/>
      </c>
      <c r="G10" s="8">
        <f>G5-G8+G9</f>
        <v/>
      </c>
      <c r="H10" s="8">
        <f>H5-H8+H9</f>
        <v/>
      </c>
      <c r="I10" s="8">
        <f>I5-I8+I9</f>
        <v/>
      </c>
    </row>
    <row r="11" ht="22" customHeight="1">
      <c r="A11" s="4" t="inlineStr">
        <is>
          <t>Net Income</t>
        </is>
      </c>
      <c r="B11" s="8">
        <f>'04_Historical_Financials'!B10</f>
        <v/>
      </c>
      <c r="C11" s="8">
        <f>'04_Historical_Financials'!C10</f>
        <v/>
      </c>
      <c r="D11" s="8">
        <f>'04_Historical_Financials'!D10</f>
        <v/>
      </c>
      <c r="E11" s="8">
        <f>'04_Historical_Financials'!E10</f>
        <v/>
      </c>
      <c r="F11" s="8">
        <f>'04_Historical_Financials'!F10</f>
        <v/>
      </c>
      <c r="G11" s="8">
        <f>'04_Historical_Financials'!G10</f>
        <v/>
      </c>
      <c r="H11" s="8">
        <f>'04_Historical_Financials'!H10</f>
        <v/>
      </c>
      <c r="I11" s="8">
        <f>'04_Historical_Financials'!I10</f>
        <v/>
      </c>
    </row>
    <row r="12" ht="22" customHeight="1">
      <c r="A12" s="4" t="inlineStr">
        <is>
          <t>Diluted EPS</t>
        </is>
      </c>
      <c r="B12" s="8">
        <f>B11/B10</f>
        <v/>
      </c>
      <c r="C12" s="8">
        <f>C11/C10</f>
        <v/>
      </c>
      <c r="D12" s="8">
        <f>D11/D10</f>
        <v/>
      </c>
      <c r="E12" s="8">
        <f>E11/E10</f>
        <v/>
      </c>
      <c r="F12" s="8">
        <f>F11/F10</f>
        <v/>
      </c>
      <c r="G12" s="8">
        <f>G11/G10</f>
        <v/>
      </c>
      <c r="H12" s="8">
        <f>H11/H10</f>
        <v/>
      </c>
      <c r="I12" s="8">
        <f>I11/I10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DCF Valuation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Intrinsic valuation using unlevered free cash flow.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6" t="inlineStr">
        <is>
          <t>$ in millions</t>
        </is>
      </c>
      <c r="B4" s="6" t="inlineStr">
        <is>
          <t>FY2021A</t>
        </is>
      </c>
      <c r="C4" s="6" t="inlineStr">
        <is>
          <t>FY2022A</t>
        </is>
      </c>
      <c r="D4" s="6" t="inlineStr">
        <is>
          <t>FY2023A</t>
        </is>
      </c>
      <c r="E4" s="6" t="inlineStr">
        <is>
          <t>FY2024A</t>
        </is>
      </c>
      <c r="F4" s="6" t="inlineStr">
        <is>
          <t>FY2025A</t>
        </is>
      </c>
      <c r="G4" s="6" t="inlineStr">
        <is>
          <t>FY2026E</t>
        </is>
      </c>
      <c r="H4" s="6" t="inlineStr">
        <is>
          <t>FY2027E</t>
        </is>
      </c>
      <c r="I4" s="6" t="inlineStr">
        <is>
          <t>FY2028E</t>
        </is>
      </c>
    </row>
    <row r="5" ht="22" customHeight="1">
      <c r="A5" s="4" t="inlineStr">
        <is>
          <t>Unlevered FCF</t>
        </is>
      </c>
      <c r="B5" s="8">
        <f>'13_Free_Cash_Flow'!B9</f>
        <v/>
      </c>
      <c r="C5" s="8">
        <f>'13_Free_Cash_Flow'!C9</f>
        <v/>
      </c>
      <c r="D5" s="8">
        <f>'13_Free_Cash_Flow'!D9</f>
        <v/>
      </c>
      <c r="E5" s="8">
        <f>'13_Free_Cash_Flow'!E9</f>
        <v/>
      </c>
      <c r="F5" s="8">
        <f>'13_Free_Cash_Flow'!F9</f>
        <v/>
      </c>
      <c r="G5" s="8">
        <f>'13_Free_Cash_Flow'!G9</f>
        <v/>
      </c>
      <c r="H5" s="8">
        <f>'13_Free_Cash_Flow'!H9</f>
        <v/>
      </c>
      <c r="I5" s="8">
        <f>'13_Free_Cash_Flow'!I9</f>
        <v/>
      </c>
    </row>
    <row r="6" ht="22" customHeight="1">
      <c r="A6" s="4" t="inlineStr">
        <is>
          <t>Discount Period</t>
        </is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</row>
    <row r="7" ht="22" customHeight="1">
      <c r="A7" s="4" t="inlineStr">
        <is>
          <t>Discount Factor</t>
        </is>
      </c>
      <c r="B7" s="8">
        <f>1/(1+'03_Setup_Control'!B8)^B6</f>
        <v/>
      </c>
      <c r="C7" s="8">
        <f>1/(1+'03_Setup_Control'!B8)^C6</f>
        <v/>
      </c>
      <c r="D7" s="8">
        <f>1/(1+'03_Setup_Control'!B8)^D6</f>
        <v/>
      </c>
      <c r="E7" s="8">
        <f>1/(1+'03_Setup_Control'!B8)^E6</f>
        <v/>
      </c>
      <c r="F7" s="8">
        <f>1/(1+'03_Setup_Control'!B8)^F6</f>
        <v/>
      </c>
      <c r="G7" s="8">
        <f>1/(1+'03_Setup_Control'!B8)^G6</f>
        <v/>
      </c>
      <c r="H7" s="8">
        <f>1/(1+'03_Setup_Control'!B8)^H6</f>
        <v/>
      </c>
      <c r="I7" s="8">
        <f>1/(1+'03_Setup_Control'!B8)^I6</f>
        <v/>
      </c>
    </row>
    <row r="8" ht="22" customHeight="1">
      <c r="A8" s="4" t="inlineStr">
        <is>
          <t>PV of FCF</t>
        </is>
      </c>
      <c r="B8" s="8">
        <f>B5*B7</f>
        <v/>
      </c>
      <c r="C8" s="8">
        <f>C5*C7</f>
        <v/>
      </c>
      <c r="D8" s="8">
        <f>D5*D7</f>
        <v/>
      </c>
      <c r="E8" s="8">
        <f>E5*E7</f>
        <v/>
      </c>
      <c r="F8" s="8">
        <f>F5*F7</f>
        <v/>
      </c>
      <c r="G8" s="8">
        <f>G5*G7</f>
        <v/>
      </c>
      <c r="H8" s="8">
        <f>H5*H7</f>
        <v/>
      </c>
      <c r="I8" s="8">
        <f>I5*I7</f>
        <v/>
      </c>
    </row>
    <row r="9" ht="22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22" customHeight="1">
      <c r="A12" s="4" t="inlineStr">
        <is>
          <t>PV of Explicit FCF</t>
        </is>
      </c>
      <c r="B12" s="9">
        <f>SUM(B8:I8)</f>
        <v/>
      </c>
      <c r="C12" s="2" t="n"/>
      <c r="D12" s="2" t="n"/>
      <c r="E12" s="2" t="n"/>
      <c r="F12" s="2" t="n"/>
      <c r="G12" s="2" t="n"/>
      <c r="H12" s="2" t="n"/>
      <c r="I12" s="2" t="n"/>
    </row>
    <row r="13" ht="22" customHeight="1">
      <c r="A13" s="4" t="inlineStr">
        <is>
          <t>Terminal FCF</t>
        </is>
      </c>
      <c r="B13" s="9">
        <f>I5*(1+'03_Setup_Control'!B9)</f>
        <v/>
      </c>
      <c r="C13" s="2" t="n"/>
      <c r="D13" s="2" t="n"/>
      <c r="E13" s="2" t="n"/>
      <c r="F13" s="2" t="n"/>
      <c r="G13" s="2" t="n"/>
      <c r="H13" s="2" t="n"/>
      <c r="I13" s="2" t="n"/>
    </row>
    <row r="14" ht="22" customHeight="1">
      <c r="A14" s="4" t="inlineStr">
        <is>
          <t>Terminal Value</t>
        </is>
      </c>
      <c r="B14" s="9">
        <f>B13/('03_Setup_Control'!B8-'03_Setup_Control'!B9)</f>
        <v/>
      </c>
      <c r="C14" s="2" t="n"/>
      <c r="D14" s="2" t="n"/>
      <c r="E14" s="2" t="n"/>
      <c r="F14" s="2" t="n"/>
      <c r="G14" s="2" t="n"/>
      <c r="H14" s="2" t="n"/>
      <c r="I14" s="2" t="n"/>
    </row>
    <row r="15" ht="22" customHeight="1">
      <c r="A15" s="4" t="inlineStr">
        <is>
          <t>PV of Terminal Value</t>
        </is>
      </c>
      <c r="B15" s="9">
        <f>B14*I7</f>
        <v/>
      </c>
      <c r="C15" s="2" t="n"/>
      <c r="D15" s="2" t="n"/>
      <c r="E15" s="2" t="n"/>
      <c r="F15" s="2" t="n"/>
      <c r="G15" s="2" t="n"/>
      <c r="H15" s="2" t="n"/>
      <c r="I15" s="2" t="n"/>
    </row>
    <row r="16" ht="22" customHeight="1">
      <c r="A16" s="4" t="inlineStr">
        <is>
          <t>Enterprise Value</t>
        </is>
      </c>
      <c r="B16" s="9">
        <f>B12+B15</f>
        <v/>
      </c>
      <c r="C16" s="2" t="n"/>
      <c r="D16" s="2" t="n"/>
      <c r="E16" s="2" t="n"/>
      <c r="F16" s="2" t="n"/>
      <c r="G16" s="2" t="n"/>
      <c r="H16" s="2" t="n"/>
      <c r="I16" s="2" t="n"/>
    </row>
    <row r="17" ht="22" customHeight="1">
      <c r="A17" s="4" t="inlineStr">
        <is>
          <t>Net Cash / (Debt)</t>
        </is>
      </c>
      <c r="B17" s="9">
        <f>'03_Setup_Control'!B7</f>
        <v/>
      </c>
      <c r="C17" s="2" t="n"/>
      <c r="D17" s="2" t="n"/>
      <c r="E17" s="2" t="n"/>
      <c r="F17" s="2" t="n"/>
      <c r="G17" s="2" t="n"/>
      <c r="H17" s="2" t="n"/>
      <c r="I17" s="2" t="n"/>
    </row>
    <row r="18" ht="22" customHeight="1">
      <c r="A18" s="4" t="inlineStr">
        <is>
          <t>Equity Value</t>
        </is>
      </c>
      <c r="B18" s="9">
        <f>B16+B17</f>
        <v/>
      </c>
      <c r="C18" s="2" t="n"/>
      <c r="D18" s="2" t="n"/>
      <c r="E18" s="2" t="n"/>
      <c r="F18" s="2" t="n"/>
      <c r="G18" s="2" t="n"/>
      <c r="H18" s="2" t="n"/>
      <c r="I18" s="2" t="n"/>
    </row>
    <row r="19" ht="22" customHeight="1">
      <c r="A19" s="4" t="inlineStr">
        <is>
          <t>Diluted Shares</t>
        </is>
      </c>
      <c r="B19" s="9">
        <f>'03_Setup_Control'!B6</f>
        <v/>
      </c>
      <c r="C19" s="2" t="n"/>
      <c r="D19" s="2" t="n"/>
      <c r="E19" s="2" t="n"/>
      <c r="F19" s="2" t="n"/>
      <c r="G19" s="2" t="n"/>
      <c r="H19" s="2" t="n"/>
      <c r="I19" s="2" t="n"/>
    </row>
    <row r="20" ht="22" customHeight="1">
      <c r="A20" s="4" t="inlineStr">
        <is>
          <t>Implied DCF Value / Share</t>
        </is>
      </c>
      <c r="B20" s="9">
        <f>B18/B19</f>
        <v/>
      </c>
      <c r="C20" s="2" t="n"/>
      <c r="D20" s="2" t="n"/>
      <c r="E20" s="2" t="n"/>
      <c r="F20" s="2" t="n"/>
      <c r="G20" s="2" t="n"/>
      <c r="H20" s="2" t="n"/>
      <c r="I20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Trading Comparable Company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>Benchmark Visa against payments peers.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22" customHeight="1">
      <c r="A4" s="6" t="inlineStr">
        <is>
          <t>Company</t>
        </is>
      </c>
      <c r="B4" s="6" t="inlineStr">
        <is>
          <t>Ticker</t>
        </is>
      </c>
      <c r="C4" s="6" t="inlineStr">
        <is>
          <t>Peer Group</t>
        </is>
      </c>
      <c r="D4" s="6" t="inlineStr">
        <is>
          <t>Market Cap</t>
        </is>
      </c>
      <c r="E4" s="6" t="inlineStr">
        <is>
          <t>EV</t>
        </is>
      </c>
      <c r="F4" s="6" t="inlineStr">
        <is>
          <t>Revenue Growth</t>
        </is>
      </c>
      <c r="G4" s="6" t="inlineStr">
        <is>
          <t>EBITDA Margin</t>
        </is>
      </c>
      <c r="H4" s="6" t="inlineStr">
        <is>
          <t>P/E</t>
        </is>
      </c>
      <c r="I4" s="6" t="inlineStr">
        <is>
          <t>EV/EBITDA</t>
        </is>
      </c>
      <c r="J4" s="6" t="inlineStr">
        <is>
          <t>FCF Yield</t>
        </is>
      </c>
      <c r="K4" s="6" t="inlineStr">
        <is>
          <t>Notes</t>
        </is>
      </c>
    </row>
    <row r="5" ht="22" customHeight="1">
      <c r="A5" s="5" t="inlineStr">
        <is>
          <t>Visa</t>
        </is>
      </c>
      <c r="B5" s="5" t="inlineStr">
        <is>
          <t>V</t>
        </is>
      </c>
      <c r="C5" s="5" t="inlineStr">
        <is>
          <t>Network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</row>
    <row r="6" ht="22" customHeight="1">
      <c r="A6" s="5" t="inlineStr">
        <is>
          <t>Mastercard</t>
        </is>
      </c>
      <c r="B6" s="5" t="inlineStr">
        <is>
          <t>MA</t>
        </is>
      </c>
      <c r="C6" s="5" t="inlineStr">
        <is>
          <t>Network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</row>
    <row r="7" ht="22" customHeight="1">
      <c r="A7" s="5" t="inlineStr">
        <is>
          <t>American Express</t>
        </is>
      </c>
      <c r="B7" s="5" t="inlineStr">
        <is>
          <t>AXP</t>
        </is>
      </c>
      <c r="C7" s="5" t="inlineStr">
        <is>
          <t>Closed-loop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</row>
    <row r="8" ht="22" customHeight="1">
      <c r="A8" s="5" t="inlineStr">
        <is>
          <t>Fiserv</t>
        </is>
      </c>
      <c r="B8" s="5" t="inlineStr">
        <is>
          <t>FI</t>
        </is>
      </c>
      <c r="C8" s="5" t="inlineStr">
        <is>
          <t>Processor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</row>
    <row r="9" ht="22" customHeight="1">
      <c r="A9" s="5" t="inlineStr">
        <is>
          <t>Global Payments</t>
        </is>
      </c>
      <c r="B9" s="5" t="inlineStr">
        <is>
          <t>GPN</t>
        </is>
      </c>
      <c r="C9" s="5" t="inlineStr">
        <is>
          <t>Processor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</row>
    <row r="10" ht="22" customHeight="1">
      <c r="A10" s="5" t="inlineStr">
        <is>
          <t>Shift4</t>
        </is>
      </c>
      <c r="B10" s="5" t="inlineStr">
        <is>
          <t>FOUR</t>
        </is>
      </c>
      <c r="C10" s="5" t="inlineStr">
        <is>
          <t>Acquirer / PSP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</row>
    <row r="11" ht="22" customHeight="1">
      <c r="A11" s="5" t="inlineStr">
        <is>
          <t>Adyen</t>
        </is>
      </c>
      <c r="B11" s="5" t="inlineStr">
        <is>
          <t>ADYEN</t>
        </is>
      </c>
      <c r="C11" s="5" t="inlineStr">
        <is>
          <t>Acquirer / PSP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</row>
    <row r="12" ht="22" customHeight="1">
      <c r="A12" s="5" t="inlineStr">
        <is>
          <t>PayPal</t>
        </is>
      </c>
      <c r="B12" s="5" t="inlineStr">
        <is>
          <t>PYPL</t>
        </is>
      </c>
      <c r="C12" s="5" t="inlineStr">
        <is>
          <t>Wallet / Fintech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</row>
    <row r="13" ht="22" customHeight="1">
      <c r="A13" s="5" t="inlineStr">
        <is>
          <t>Block</t>
        </is>
      </c>
      <c r="B13" s="5" t="inlineStr">
        <is>
          <t>XYZ</t>
        </is>
      </c>
      <c r="C13" s="5" t="inlineStr">
        <is>
          <t>Wallet / Fintech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</row>
    <row r="14" ht="22" customHeight="1">
      <c r="A14" s="5" t="inlineStr">
        <is>
          <t>FIS</t>
        </is>
      </c>
      <c r="B14" s="5" t="inlineStr">
        <is>
          <t>FIS</t>
        </is>
      </c>
      <c r="C14" s="5" t="inlineStr">
        <is>
          <t>Infrastructure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Precedent Transaction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>Payments M&amp;A valuation context.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22" customHeight="1">
      <c r="A4" s="6" t="inlineStr">
        <is>
          <t>Date</t>
        </is>
      </c>
      <c r="B4" s="6" t="inlineStr">
        <is>
          <t>Acquirer</t>
        </is>
      </c>
      <c r="C4" s="6" t="inlineStr">
        <is>
          <t>Target</t>
        </is>
      </c>
      <c r="D4" s="6" t="inlineStr">
        <is>
          <t>Category</t>
        </is>
      </c>
      <c r="E4" s="6" t="inlineStr">
        <is>
          <t>Transaction Value</t>
        </is>
      </c>
      <c r="F4" s="6" t="inlineStr">
        <is>
          <t>Revenue</t>
        </is>
      </c>
      <c r="G4" s="6" t="inlineStr">
        <is>
          <t>EBITDA</t>
        </is>
      </c>
      <c r="H4" s="6" t="inlineStr">
        <is>
          <t>EV/Revenue</t>
        </is>
      </c>
      <c r="I4" s="6" t="inlineStr">
        <is>
          <t>EV/EBITDA</t>
        </is>
      </c>
      <c r="J4" s="6" t="inlineStr">
        <is>
          <t>Strategic Rationale</t>
        </is>
      </c>
      <c r="K4" s="6" t="inlineStr">
        <is>
          <t>Relevance to Visa</t>
        </is>
      </c>
    </row>
    <row r="5" ht="22" customHeight="1">
      <c r="A5" s="7" t="n"/>
      <c r="B5" s="7" t="n"/>
      <c r="C5" s="7" t="n"/>
      <c r="D5" s="7" t="n"/>
      <c r="E5" s="7" t="n"/>
      <c r="F5" s="7" t="n"/>
      <c r="G5" s="7" t="n"/>
      <c r="H5" s="8">
        <f>E5/F5</f>
        <v/>
      </c>
      <c r="I5" s="8">
        <f>E5/G5</f>
        <v/>
      </c>
      <c r="J5" s="7" t="n"/>
      <c r="K5" s="7" t="n"/>
    </row>
    <row r="6" ht="22" customHeight="1">
      <c r="A6" s="7" t="n"/>
      <c r="B6" s="7" t="n"/>
      <c r="C6" s="7" t="n"/>
      <c r="D6" s="7" t="n"/>
      <c r="E6" s="7" t="n"/>
      <c r="F6" s="7" t="n"/>
      <c r="G6" s="7" t="n"/>
      <c r="H6" s="8">
        <f>E6/F6</f>
        <v/>
      </c>
      <c r="I6" s="8">
        <f>E6/G6</f>
        <v/>
      </c>
      <c r="J6" s="7" t="n"/>
      <c r="K6" s="7" t="n"/>
    </row>
    <row r="7" ht="22" customHeight="1">
      <c r="A7" s="7" t="n"/>
      <c r="B7" s="7" t="n"/>
      <c r="C7" s="7" t="n"/>
      <c r="D7" s="7" t="n"/>
      <c r="E7" s="7" t="n"/>
      <c r="F7" s="7" t="n"/>
      <c r="G7" s="7" t="n"/>
      <c r="H7" s="8">
        <f>E7/F7</f>
        <v/>
      </c>
      <c r="I7" s="8">
        <f>E7/G7</f>
        <v/>
      </c>
      <c r="J7" s="7" t="n"/>
      <c r="K7" s="7" t="n"/>
    </row>
    <row r="8" ht="22" customHeight="1">
      <c r="A8" s="7" t="n"/>
      <c r="B8" s="7" t="n"/>
      <c r="C8" s="7" t="n"/>
      <c r="D8" s="7" t="n"/>
      <c r="E8" s="7" t="n"/>
      <c r="F8" s="7" t="n"/>
      <c r="G8" s="7" t="n"/>
      <c r="H8" s="8">
        <f>E8/F8</f>
        <v/>
      </c>
      <c r="I8" s="8">
        <f>E8/G8</f>
        <v/>
      </c>
      <c r="J8" s="7" t="n"/>
      <c r="K8" s="7" t="n"/>
    </row>
    <row r="9" ht="22" customHeight="1">
      <c r="A9" s="7" t="n"/>
      <c r="B9" s="7" t="n"/>
      <c r="C9" s="7" t="n"/>
      <c r="D9" s="7" t="n"/>
      <c r="E9" s="7" t="n"/>
      <c r="F9" s="7" t="n"/>
      <c r="G9" s="7" t="n"/>
      <c r="H9" s="8">
        <f>E9/F9</f>
        <v/>
      </c>
      <c r="I9" s="8">
        <f>E9/G9</f>
        <v/>
      </c>
      <c r="J9" s="7" t="n"/>
      <c r="K9" s="7" t="n"/>
    </row>
    <row r="10" ht="22" customHeight="1">
      <c r="A10" s="7" t="n"/>
      <c r="B10" s="7" t="n"/>
      <c r="C10" s="7" t="n"/>
      <c r="D10" s="7" t="n"/>
      <c r="E10" s="7" t="n"/>
      <c r="F10" s="7" t="n"/>
      <c r="G10" s="7" t="n"/>
      <c r="H10" s="8">
        <f>E10/F10</f>
        <v/>
      </c>
      <c r="I10" s="8">
        <f>E10/G10</f>
        <v/>
      </c>
      <c r="J10" s="7" t="n"/>
      <c r="K10" s="7" t="n"/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8">
        <f>E11/F11</f>
        <v/>
      </c>
      <c r="I11" s="8">
        <f>E11/G11</f>
        <v/>
      </c>
      <c r="J11" s="7" t="n"/>
      <c r="K11" s="7" t="n"/>
    </row>
    <row r="12" ht="22" customHeight="1">
      <c r="A12" s="7" t="n"/>
      <c r="B12" s="7" t="n"/>
      <c r="C12" s="7" t="n"/>
      <c r="D12" s="7" t="n"/>
      <c r="E12" s="7" t="n"/>
      <c r="F12" s="7" t="n"/>
      <c r="G12" s="7" t="n"/>
      <c r="H12" s="8">
        <f>E12/F12</f>
        <v/>
      </c>
      <c r="I12" s="8">
        <f>E12/G12</f>
        <v/>
      </c>
      <c r="J12" s="7" t="n"/>
      <c r="K12" s="7" t="n"/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8">
        <f>E13/F13</f>
        <v/>
      </c>
      <c r="I13" s="8">
        <f>E13/G13</f>
        <v/>
      </c>
      <c r="J13" s="7" t="n"/>
      <c r="K13" s="7" t="n"/>
    </row>
    <row r="14" ht="22" customHeight="1">
      <c r="A14" s="7" t="n"/>
      <c r="B14" s="7" t="n"/>
      <c r="C14" s="7" t="n"/>
      <c r="D14" s="7" t="n"/>
      <c r="E14" s="7" t="n"/>
      <c r="F14" s="7" t="n"/>
      <c r="G14" s="7" t="n"/>
      <c r="H14" s="8">
        <f>E14/F14</f>
        <v/>
      </c>
      <c r="I14" s="8">
        <f>E14/G14</f>
        <v/>
      </c>
      <c r="J14" s="7" t="n"/>
      <c r="K14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Sum-of-the-Parts Valuation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Separate core network, VAS, and money movement value pools.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6" t="inlineStr">
        <is>
          <t>Segment</t>
        </is>
      </c>
      <c r="B4" s="6" t="inlineStr">
        <is>
          <t>Metric</t>
        </is>
      </c>
      <c r="C4" s="6" t="inlineStr">
        <is>
          <t>Metric Value</t>
        </is>
      </c>
      <c r="D4" s="6" t="inlineStr">
        <is>
          <t>Multiple</t>
        </is>
      </c>
      <c r="E4" s="6" t="inlineStr">
        <is>
          <t>Implied Value</t>
        </is>
      </c>
      <c r="F4" s="6" t="inlineStr">
        <is>
          <t>Rationale</t>
        </is>
      </c>
      <c r="G4" s="2" t="n"/>
      <c r="H4" s="2" t="n"/>
    </row>
    <row r="5" ht="22" customHeight="1">
      <c r="A5" s="4" t="inlineStr">
        <is>
          <t>Core Consumer Payments Network</t>
        </is>
      </c>
      <c r="B5" s="7" t="n"/>
      <c r="C5" s="7" t="n"/>
      <c r="D5" s="7" t="n"/>
      <c r="E5" s="8">
        <f>C5*D5</f>
        <v/>
      </c>
      <c r="F5" s="7" t="n"/>
      <c r="G5" s="2" t="n"/>
      <c r="H5" s="2" t="n"/>
    </row>
    <row r="6" ht="22" customHeight="1">
      <c r="A6" s="4" t="inlineStr">
        <is>
          <t>Commercial / B2B Payments</t>
        </is>
      </c>
      <c r="B6" s="7" t="n"/>
      <c r="C6" s="7" t="n"/>
      <c r="D6" s="7" t="n"/>
      <c r="E6" s="8">
        <f>C6*D6</f>
        <v/>
      </c>
      <c r="F6" s="7" t="n"/>
      <c r="G6" s="2" t="n"/>
      <c r="H6" s="2" t="n"/>
    </row>
    <row r="7" ht="22" customHeight="1">
      <c r="A7" s="4" t="inlineStr">
        <is>
          <t>Value-Added Services</t>
        </is>
      </c>
      <c r="B7" s="7" t="n"/>
      <c r="C7" s="7" t="n"/>
      <c r="D7" s="7" t="n"/>
      <c r="E7" s="8">
        <f>C7*D7</f>
        <v/>
      </c>
      <c r="F7" s="7" t="n"/>
      <c r="G7" s="2" t="n"/>
      <c r="H7" s="2" t="n"/>
    </row>
    <row r="8" ht="22" customHeight="1">
      <c r="A8" s="4" t="inlineStr">
        <is>
          <t>Visa Direct / Money Movement</t>
        </is>
      </c>
      <c r="B8" s="7" t="n"/>
      <c r="C8" s="7" t="n"/>
      <c r="D8" s="7" t="n"/>
      <c r="E8" s="8">
        <f>C8*D8</f>
        <v/>
      </c>
      <c r="F8" s="7" t="n"/>
      <c r="G8" s="2" t="n"/>
      <c r="H8" s="2" t="n"/>
    </row>
    <row r="9" ht="22" customHeight="1">
      <c r="A9" s="4" t="inlineStr">
        <is>
          <t>Net Cash / Other</t>
        </is>
      </c>
      <c r="B9" s="7" t="n"/>
      <c r="C9" s="7" t="n"/>
      <c r="D9" s="7" t="n"/>
      <c r="E9" s="8">
        <f>C9*D9</f>
        <v/>
      </c>
      <c r="F9" s="7" t="n"/>
      <c r="G9" s="2" t="n"/>
      <c r="H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4" t="inlineStr">
        <is>
          <t>Total SOTP Equity Value</t>
        </is>
      </c>
      <c r="E12" s="9">
        <f>SUM(E5:E9)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Scenario Manager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Driver-based severe downside, bear, base, and bull cases.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6" t="inlineStr">
        <is>
          <t>Driver</t>
        </is>
      </c>
      <c r="B4" s="6" t="inlineStr">
        <is>
          <t>Severe Downside</t>
        </is>
      </c>
      <c r="C4" s="6" t="inlineStr">
        <is>
          <t>Bear</t>
        </is>
      </c>
      <c r="D4" s="6" t="inlineStr">
        <is>
          <t>Base</t>
        </is>
      </c>
      <c r="E4" s="6" t="inlineStr">
        <is>
          <t>Bull</t>
        </is>
      </c>
      <c r="F4" s="2" t="n"/>
      <c r="G4" s="2" t="n"/>
      <c r="H4" s="2" t="n"/>
    </row>
    <row r="5" ht="22" customHeight="1">
      <c r="A5" s="4" t="inlineStr">
        <is>
          <t>Revenue CAGR</t>
        </is>
      </c>
      <c r="B5" s="7" t="n"/>
      <c r="C5" s="7" t="n"/>
      <c r="D5" s="7" t="n"/>
      <c r="E5" s="7" t="n"/>
      <c r="F5" s="2" t="n"/>
      <c r="G5" s="2" t="n"/>
      <c r="H5" s="2" t="n"/>
    </row>
    <row r="6" ht="22" customHeight="1">
      <c r="A6" s="4" t="inlineStr">
        <is>
          <t>Operating Margin</t>
        </is>
      </c>
      <c r="B6" s="7" t="n"/>
      <c r="C6" s="7" t="n"/>
      <c r="D6" s="7" t="n"/>
      <c r="E6" s="7" t="n"/>
      <c r="F6" s="2" t="n"/>
      <c r="G6" s="2" t="n"/>
      <c r="H6" s="2" t="n"/>
    </row>
    <row r="7" ht="22" customHeight="1">
      <c r="A7" s="4" t="inlineStr">
        <is>
          <t>Client Incentives / Gross Revenue</t>
        </is>
      </c>
      <c r="B7" s="7" t="n"/>
      <c r="C7" s="7" t="n"/>
      <c r="D7" s="7" t="n"/>
      <c r="E7" s="7" t="n"/>
      <c r="F7" s="2" t="n"/>
      <c r="G7" s="2" t="n"/>
      <c r="H7" s="2" t="n"/>
    </row>
    <row r="8" ht="22" customHeight="1">
      <c r="A8" s="4" t="inlineStr">
        <is>
          <t>VAS Growth</t>
        </is>
      </c>
      <c r="B8" s="7" t="n"/>
      <c r="C8" s="7" t="n"/>
      <c r="D8" s="7" t="n"/>
      <c r="E8" s="7" t="n"/>
      <c r="F8" s="2" t="n"/>
      <c r="G8" s="2" t="n"/>
      <c r="H8" s="2" t="n"/>
    </row>
    <row r="9" ht="22" customHeight="1">
      <c r="A9" s="4" t="inlineStr">
        <is>
          <t>Cross-Border Growth</t>
        </is>
      </c>
      <c r="B9" s="7" t="n"/>
      <c r="C9" s="7" t="n"/>
      <c r="D9" s="7" t="n"/>
      <c r="E9" s="7" t="n"/>
      <c r="F9" s="2" t="n"/>
      <c r="G9" s="2" t="n"/>
      <c r="H9" s="2" t="n"/>
    </row>
    <row r="10" ht="22" customHeight="1">
      <c r="A10" s="4" t="inlineStr">
        <is>
          <t>Terminal P/E</t>
        </is>
      </c>
      <c r="B10" s="7" t="n"/>
      <c r="C10" s="7" t="n"/>
      <c r="D10" s="7" t="n"/>
      <c r="E10" s="7" t="n"/>
      <c r="F10" s="2" t="n"/>
      <c r="G10" s="2" t="n"/>
      <c r="H10" s="2" t="n"/>
    </row>
    <row r="11" ht="22" customHeight="1">
      <c r="A11" s="4" t="inlineStr">
        <is>
          <t>DCF Value / Share</t>
        </is>
      </c>
      <c r="B11" s="8" t="n"/>
      <c r="C11" s="8" t="n"/>
      <c r="D11" s="8" t="n"/>
      <c r="E11" s="8" t="n"/>
      <c r="F11" s="2" t="n"/>
      <c r="G11" s="2" t="n"/>
      <c r="H11" s="2" t="n"/>
    </row>
    <row r="12" ht="22" customHeight="1">
      <c r="A12" s="4" t="inlineStr">
        <is>
          <t>Comps Value / Share</t>
        </is>
      </c>
      <c r="B12" s="8" t="n"/>
      <c r="C12" s="8" t="n"/>
      <c r="D12" s="8" t="n"/>
      <c r="E12" s="8" t="n"/>
      <c r="F12" s="2" t="n"/>
      <c r="G12" s="2" t="n"/>
      <c r="H12" s="2" t="n"/>
    </row>
    <row r="13" ht="22" customHeight="1">
      <c r="A13" s="4" t="inlineStr">
        <is>
          <t>Scenario Target Price</t>
        </is>
      </c>
      <c r="B13" s="8">
        <f>AVERAGE(B11:B12)</f>
        <v/>
      </c>
      <c r="C13" s="8">
        <f>AVERAGE(C11:C12)</f>
        <v/>
      </c>
      <c r="D13" s="8">
        <f>AVERAGE(D11:D12)</f>
        <v/>
      </c>
      <c r="E13" s="8">
        <f>AVERAGE(E11:E12)</f>
        <v/>
      </c>
      <c r="F13" s="2" t="n"/>
      <c r="G13" s="2" t="n"/>
      <c r="H13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Sensitivity Tables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DCF and valuation sensitivity outputs.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4" t="inlineStr">
        <is>
          <t>DCF Sensitivity: WACC vs Terminal Growth</t>
        </is>
      </c>
      <c r="B4" s="2" t="n"/>
      <c r="C4" s="2" t="n"/>
      <c r="D4" s="2" t="n"/>
      <c r="E4" s="2" t="n"/>
      <c r="F4" s="2" t="n"/>
      <c r="G4" s="2" t="n"/>
      <c r="H4" s="2" t="n"/>
    </row>
    <row r="5" ht="22" customHeight="1">
      <c r="A5" s="2" t="n"/>
      <c r="B5" s="4" t="n">
        <v>0.075</v>
      </c>
      <c r="C5" s="4" t="n">
        <v>0.08</v>
      </c>
      <c r="D5" s="4" t="n">
        <v>0.08500000000000001</v>
      </c>
      <c r="E5" s="4" t="n">
        <v>0.09</v>
      </c>
      <c r="F5" s="4" t="n">
        <v>0.095</v>
      </c>
      <c r="G5" s="2" t="n"/>
      <c r="H5" s="2" t="n"/>
    </row>
    <row r="6" ht="22" customHeight="1">
      <c r="A6" s="4" t="n">
        <v>0.025</v>
      </c>
      <c r="B6" s="8" t="inlineStr">
        <is>
          <t>Link to DCF</t>
        </is>
      </c>
      <c r="C6" s="8" t="inlineStr">
        <is>
          <t>Link to DCF</t>
        </is>
      </c>
      <c r="D6" s="8" t="inlineStr">
        <is>
          <t>Link to DCF</t>
        </is>
      </c>
      <c r="E6" s="8" t="inlineStr">
        <is>
          <t>Link to DCF</t>
        </is>
      </c>
      <c r="F6" s="8" t="inlineStr">
        <is>
          <t>Link to DCF</t>
        </is>
      </c>
      <c r="G6" s="2" t="n"/>
      <c r="H6" s="2" t="n"/>
    </row>
    <row r="7" ht="22" customHeight="1">
      <c r="A7" s="4" t="n">
        <v>0.03</v>
      </c>
      <c r="B7" s="8" t="inlineStr">
        <is>
          <t>Link to DCF</t>
        </is>
      </c>
      <c r="C7" s="8" t="inlineStr">
        <is>
          <t>Link to DCF</t>
        </is>
      </c>
      <c r="D7" s="8" t="inlineStr">
        <is>
          <t>Link to DCF</t>
        </is>
      </c>
      <c r="E7" s="8" t="inlineStr">
        <is>
          <t>Link to DCF</t>
        </is>
      </c>
      <c r="F7" s="8" t="inlineStr">
        <is>
          <t>Link to DCF</t>
        </is>
      </c>
      <c r="G7" s="2" t="n"/>
      <c r="H7" s="2" t="n"/>
    </row>
    <row r="8" ht="22" customHeight="1">
      <c r="A8" s="4" t="n">
        <v>0.035</v>
      </c>
      <c r="B8" s="8" t="inlineStr">
        <is>
          <t>Link to DCF</t>
        </is>
      </c>
      <c r="C8" s="8" t="inlineStr">
        <is>
          <t>Link to DCF</t>
        </is>
      </c>
      <c r="D8" s="8" t="inlineStr">
        <is>
          <t>Link to DCF</t>
        </is>
      </c>
      <c r="E8" s="8" t="inlineStr">
        <is>
          <t>Link to DCF</t>
        </is>
      </c>
      <c r="F8" s="8" t="inlineStr">
        <is>
          <t>Link to DCF</t>
        </is>
      </c>
      <c r="G8" s="2" t="n"/>
      <c r="H8" s="2" t="n"/>
    </row>
    <row r="9" ht="22" customHeight="1">
      <c r="A9" s="4" t="n">
        <v>0.04</v>
      </c>
      <c r="B9" s="8" t="inlineStr">
        <is>
          <t>Link to DCF</t>
        </is>
      </c>
      <c r="C9" s="8" t="inlineStr">
        <is>
          <t>Link to DCF</t>
        </is>
      </c>
      <c r="D9" s="8" t="inlineStr">
        <is>
          <t>Link to DCF</t>
        </is>
      </c>
      <c r="E9" s="8" t="inlineStr">
        <is>
          <t>Link to DCF</t>
        </is>
      </c>
      <c r="F9" s="8" t="inlineStr">
        <is>
          <t>Link to DCF</t>
        </is>
      </c>
      <c r="G9" s="2" t="n"/>
      <c r="H9" s="2" t="n"/>
    </row>
    <row r="10" ht="22" customHeight="1">
      <c r="A10" s="4" t="n">
        <v>0.045</v>
      </c>
      <c r="B10" s="8" t="inlineStr">
        <is>
          <t>Link to DCF</t>
        </is>
      </c>
      <c r="C10" s="8" t="inlineStr">
        <is>
          <t>Link to DCF</t>
        </is>
      </c>
      <c r="D10" s="8" t="inlineStr">
        <is>
          <t>Link to DCF</t>
        </is>
      </c>
      <c r="E10" s="8" t="inlineStr">
        <is>
          <t>Link to DCF</t>
        </is>
      </c>
      <c r="F10" s="8" t="inlineStr">
        <is>
          <t>Link to DCF</t>
        </is>
      </c>
      <c r="G10" s="2" t="n"/>
      <c r="H10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Consensus Bridge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Compare project estimates with consensus expectations.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6" t="inlineStr">
        <is>
          <t>Metric</t>
        </is>
      </c>
      <c r="B4" s="6" t="inlineStr">
        <is>
          <t>FY2026E Consensus</t>
        </is>
      </c>
      <c r="C4" s="6" t="inlineStr">
        <is>
          <t>FY2026E Project</t>
        </is>
      </c>
      <c r="D4" s="6" t="inlineStr">
        <is>
          <t>Variance</t>
        </is>
      </c>
      <c r="E4" s="6" t="inlineStr">
        <is>
          <t>FY2027E Consensus</t>
        </is>
      </c>
      <c r="F4" s="6" t="inlineStr">
        <is>
          <t>FY2027E Project</t>
        </is>
      </c>
      <c r="G4" s="6" t="inlineStr">
        <is>
          <t>Variance</t>
        </is>
      </c>
      <c r="H4" s="6" t="inlineStr">
        <is>
          <t>Interpretation</t>
        </is>
      </c>
    </row>
    <row r="5" ht="22" customHeight="1">
      <c r="A5" s="4" t="inlineStr">
        <is>
          <t>Net Revenue</t>
        </is>
      </c>
      <c r="B5" s="7" t="n"/>
      <c r="C5" s="7" t="n"/>
      <c r="D5" s="8">
        <f>C5-B5</f>
        <v/>
      </c>
      <c r="E5" s="7" t="n"/>
      <c r="F5" s="7" t="n"/>
      <c r="G5" s="8">
        <f>F5-E5</f>
        <v/>
      </c>
      <c r="H5" s="7" t="n"/>
    </row>
    <row r="6" ht="22" customHeight="1">
      <c r="A6" s="4" t="inlineStr">
        <is>
          <t>Operating Margin</t>
        </is>
      </c>
      <c r="B6" s="7" t="n"/>
      <c r="C6" s="7" t="n"/>
      <c r="D6" s="8">
        <f>C6-B6</f>
        <v/>
      </c>
      <c r="E6" s="7" t="n"/>
      <c r="F6" s="7" t="n"/>
      <c r="G6" s="8">
        <f>F6-E6</f>
        <v/>
      </c>
      <c r="H6" s="7" t="n"/>
    </row>
    <row r="7" ht="22" customHeight="1">
      <c r="A7" s="4" t="inlineStr">
        <is>
          <t>EPS</t>
        </is>
      </c>
      <c r="B7" s="7" t="n"/>
      <c r="C7" s="7" t="n"/>
      <c r="D7" s="8">
        <f>C7-B7</f>
        <v/>
      </c>
      <c r="E7" s="7" t="n"/>
      <c r="F7" s="7" t="n"/>
      <c r="G7" s="8">
        <f>F7-E7</f>
        <v/>
      </c>
      <c r="H7" s="7" t="n"/>
    </row>
    <row r="8" ht="22" customHeight="1">
      <c r="A8" s="4" t="inlineStr">
        <is>
          <t>FCF</t>
        </is>
      </c>
      <c r="B8" s="7" t="n"/>
      <c r="C8" s="7" t="n"/>
      <c r="D8" s="8">
        <f>C8-B8</f>
        <v/>
      </c>
      <c r="E8" s="7" t="n"/>
      <c r="F8" s="7" t="n"/>
      <c r="G8" s="8">
        <f>F8-E8</f>
        <v/>
      </c>
      <c r="H8" s="7" t="n"/>
    </row>
    <row r="9" ht="22" customHeight="1">
      <c r="A9" s="4" t="inlineStr">
        <is>
          <t>Buybacks</t>
        </is>
      </c>
      <c r="B9" s="7" t="n"/>
      <c r="C9" s="7" t="n"/>
      <c r="D9" s="8">
        <f>C9-B9</f>
        <v/>
      </c>
      <c r="E9" s="7" t="n"/>
      <c r="F9" s="7" t="n"/>
      <c r="G9" s="8">
        <f>F9-E9</f>
        <v/>
      </c>
      <c r="H9" s="7" t="n"/>
    </row>
    <row r="10" ht="22" customHeight="1">
      <c r="A10" s="4" t="inlineStr">
        <is>
          <t>Target P/E</t>
        </is>
      </c>
      <c r="B10" s="7" t="n"/>
      <c r="C10" s="7" t="n"/>
      <c r="D10" s="8">
        <f>C10-B10</f>
        <v/>
      </c>
      <c r="E10" s="7" t="n"/>
      <c r="F10" s="7" t="n"/>
      <c r="G10" s="8">
        <f>F10-E10</f>
        <v/>
      </c>
      <c r="H10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Output Dashboard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Recruiter-friendly model summary.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4" t="inlineStr">
        <is>
          <t>Recommendation</t>
        </is>
      </c>
      <c r="B4" s="9" t="inlineStr">
        <is>
          <t>Outperform / Base Case Positive</t>
        </is>
      </c>
      <c r="C4" s="2" t="n"/>
      <c r="D4" s="2" t="n"/>
      <c r="E4" s="2" t="n"/>
      <c r="F4" s="2" t="n"/>
      <c r="G4" s="2" t="n"/>
      <c r="H4" s="2" t="n"/>
    </row>
    <row r="5" ht="22" customHeight="1">
      <c r="A5" s="4" t="inlineStr">
        <is>
          <t>Primary Valuation Method</t>
        </is>
      </c>
      <c r="B5" s="9" t="inlineStr">
        <is>
          <t>DCF + Forward P/E + Comps</t>
        </is>
      </c>
      <c r="C5" s="2" t="n"/>
      <c r="D5" s="2" t="n"/>
      <c r="E5" s="2" t="n"/>
      <c r="F5" s="2" t="n"/>
      <c r="G5" s="2" t="n"/>
      <c r="H5" s="2" t="n"/>
    </row>
    <row r="6" ht="22" customHeight="1">
      <c r="A6" s="4" t="inlineStr">
        <is>
          <t>DCF Value / Share</t>
        </is>
      </c>
      <c r="B6" s="9">
        <f>'15_DCF'!B20</f>
        <v/>
      </c>
      <c r="C6" s="2" t="n"/>
      <c r="D6" s="2" t="n"/>
      <c r="E6" s="2" t="n"/>
      <c r="F6" s="2" t="n"/>
      <c r="G6" s="2" t="n"/>
      <c r="H6" s="2" t="n"/>
    </row>
    <row r="7" ht="22" customHeight="1">
      <c r="A7" s="4" t="inlineStr">
        <is>
          <t>Base Scenario Target</t>
        </is>
      </c>
      <c r="B7" s="9">
        <f>'19_Scenario_Manager'!D13</f>
        <v/>
      </c>
      <c r="C7" s="2" t="n"/>
      <c r="D7" s="2" t="n"/>
      <c r="E7" s="2" t="n"/>
      <c r="F7" s="2" t="n"/>
      <c r="G7" s="2" t="n"/>
      <c r="H7" s="2" t="n"/>
    </row>
    <row r="8" ht="22" customHeight="1">
      <c r="A8" s="4" t="inlineStr">
        <is>
          <t>Bear Scenario Target</t>
        </is>
      </c>
      <c r="B8" s="9">
        <f>'19_Scenario_Manager'!C13</f>
        <v/>
      </c>
      <c r="C8" s="2" t="n"/>
      <c r="D8" s="2" t="n"/>
      <c r="E8" s="2" t="n"/>
      <c r="F8" s="2" t="n"/>
      <c r="G8" s="2" t="n"/>
      <c r="H8" s="2" t="n"/>
    </row>
    <row r="9" ht="22" customHeight="1">
      <c r="A9" s="4" t="inlineStr">
        <is>
          <t>Bull Scenario Target</t>
        </is>
      </c>
      <c r="B9" s="9">
        <f>'19_Scenario_Manager'!E13</f>
        <v/>
      </c>
      <c r="C9" s="2" t="n"/>
      <c r="D9" s="2" t="n"/>
      <c r="E9" s="2" t="n"/>
      <c r="F9" s="2" t="n"/>
      <c r="G9" s="2" t="n"/>
      <c r="H9" s="2" t="n"/>
    </row>
    <row r="10" ht="22" customHeight="1">
      <c r="A10" s="4" t="inlineStr">
        <is>
          <t>Key Debate</t>
        </is>
      </c>
      <c r="B10" s="9" t="inlineStr">
        <is>
          <t>Take-rate durability vs regulatory and alternative-rail pressure</t>
        </is>
      </c>
      <c r="C10" s="2" t="n"/>
      <c r="D10" s="2" t="n"/>
      <c r="E10" s="2" t="n"/>
      <c r="F10" s="2" t="n"/>
      <c r="G10" s="2" t="n"/>
      <c r="H10" s="2" t="n"/>
    </row>
    <row r="11" ht="22" customHeight="1">
      <c r="A11" s="4" t="inlineStr">
        <is>
          <t>Variant Perception</t>
        </is>
      </c>
      <c r="B11" s="9" t="inlineStr">
        <is>
          <t>VAS, tokenization, risk/fraud, and money movement extend network relevance</t>
        </is>
      </c>
      <c r="C11" s="2" t="n"/>
      <c r="D11" s="2" t="n"/>
      <c r="E11" s="2" t="n"/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Charts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Placeholder sheet for report-ready chart outputs.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5" t="inlineStr">
        <is>
          <t>Revenue and margin trend</t>
        </is>
      </c>
      <c r="B4" s="2" t="n"/>
      <c r="C4" s="2" t="n"/>
      <c r="D4" s="2" t="n"/>
      <c r="E4" s="2" t="n"/>
      <c r="F4" s="2" t="n"/>
      <c r="G4" s="2" t="n"/>
      <c r="H4" s="2" t="n"/>
    </row>
    <row r="5" ht="22" customHeight="1">
      <c r="A5" s="5" t="inlineStr">
        <is>
          <t>Payments volume and processed transactions</t>
        </is>
      </c>
      <c r="B5" s="2" t="n"/>
      <c r="C5" s="2" t="n"/>
      <c r="D5" s="2" t="n"/>
      <c r="E5" s="2" t="n"/>
      <c r="F5" s="2" t="n"/>
      <c r="G5" s="2" t="n"/>
      <c r="H5" s="2" t="n"/>
    </row>
    <row r="6" ht="22" customHeight="1">
      <c r="A6" s="5" t="inlineStr">
        <is>
          <t>Cross-border volume</t>
        </is>
      </c>
      <c r="B6" s="2" t="n"/>
      <c r="C6" s="2" t="n"/>
      <c r="D6" s="2" t="n"/>
      <c r="E6" s="2" t="n"/>
      <c r="F6" s="2" t="n"/>
      <c r="G6" s="2" t="n"/>
      <c r="H6" s="2" t="n"/>
    </row>
    <row r="7" ht="22" customHeight="1">
      <c r="A7" s="5" t="inlineStr">
        <is>
          <t>Client incentives as % of gross revenue</t>
        </is>
      </c>
      <c r="B7" s="2" t="n"/>
      <c r="C7" s="2" t="n"/>
      <c r="D7" s="2" t="n"/>
      <c r="E7" s="2" t="n"/>
      <c r="F7" s="2" t="n"/>
      <c r="G7" s="2" t="n"/>
      <c r="H7" s="2" t="n"/>
    </row>
    <row r="8" ht="22" customHeight="1">
      <c r="A8" s="5" t="inlineStr">
        <is>
          <t>VAS revenue mix</t>
        </is>
      </c>
      <c r="B8" s="2" t="n"/>
      <c r="C8" s="2" t="n"/>
      <c r="D8" s="2" t="n"/>
      <c r="E8" s="2" t="n"/>
      <c r="F8" s="2" t="n"/>
      <c r="G8" s="2" t="n"/>
      <c r="H8" s="2" t="n"/>
    </row>
    <row r="9" ht="22" customHeight="1">
      <c r="A9" s="5" t="inlineStr">
        <is>
          <t>Peer valuation comparison</t>
        </is>
      </c>
      <c r="B9" s="2" t="n"/>
      <c r="C9" s="2" t="n"/>
      <c r="D9" s="2" t="n"/>
      <c r="E9" s="2" t="n"/>
      <c r="F9" s="2" t="n"/>
      <c r="G9" s="2" t="n"/>
      <c r="H9" s="2" t="n"/>
    </row>
    <row r="10" ht="22" customHeight="1">
      <c r="A10" s="5" t="inlineStr">
        <is>
          <t>DCF sensitivity</t>
        </is>
      </c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5" t="inlineStr">
        <is>
          <t>Scenario output matrix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5" t="inlineStr">
        <is>
          <t>Football field valuation</t>
        </is>
      </c>
      <c r="B12" s="2" t="n"/>
      <c r="C12" s="2" t="n"/>
      <c r="D12" s="2" t="n"/>
      <c r="E12" s="2" t="n"/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Model Checks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Quality-control checks for model integrity.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6" t="inlineStr">
        <is>
          <t>Check</t>
        </is>
      </c>
      <c r="B4" s="6" t="inlineStr">
        <is>
          <t>Logic</t>
        </is>
      </c>
      <c r="C4" s="6" t="inlineStr">
        <is>
          <t>Status</t>
        </is>
      </c>
      <c r="D4" s="2" t="n"/>
      <c r="E4" s="2" t="n"/>
      <c r="F4" s="2" t="n"/>
      <c r="G4" s="2" t="n"/>
      <c r="H4" s="2" t="n"/>
    </row>
    <row r="5" ht="22" customHeight="1">
      <c r="A5" s="4" t="inlineStr">
        <is>
          <t>Revenue Build Check</t>
        </is>
      </c>
      <c r="B5" s="5" t="inlineStr">
        <is>
          <t>Gross Revenue - Client Incentives = Net Revenue</t>
        </is>
      </c>
      <c r="C5" s="9">
        <f>IF(ABS('06_Revenue_Build'!I9-'06_Revenue_Build'!I10-'06_Revenue_Build'!I11)&lt;1,"OK","ERROR")</f>
        <v/>
      </c>
      <c r="D5" s="2" t="n"/>
      <c r="E5" s="2" t="n"/>
      <c r="F5" s="2" t="n"/>
      <c r="G5" s="2" t="n"/>
      <c r="H5" s="2" t="n"/>
    </row>
    <row r="6" ht="22" customHeight="1">
      <c r="A6" s="4" t="inlineStr">
        <is>
          <t>FCF Check</t>
        </is>
      </c>
      <c r="B6" s="5" t="inlineStr">
        <is>
          <t>NOPAT + D&amp;A - Capex - NWC = UFCF</t>
        </is>
      </c>
      <c r="C6" s="9">
        <f>IF(ABS('13_Free_Cash_Flow'!I5+'13_Free_Cash_Flow'!I6-'13_Free_Cash_Flow'!I7-'13_Free_Cash_Flow'!I8-'13_Free_Cash_Flow'!I9)&lt;1,"OK","ERROR")</f>
        <v/>
      </c>
      <c r="D6" s="2" t="n"/>
      <c r="E6" s="2" t="n"/>
      <c r="F6" s="2" t="n"/>
      <c r="G6" s="2" t="n"/>
      <c r="H6" s="2" t="n"/>
    </row>
    <row r="7" ht="22" customHeight="1">
      <c r="A7" s="4" t="inlineStr">
        <is>
          <t>DCF Check</t>
        </is>
      </c>
      <c r="B7" s="5" t="inlineStr">
        <is>
          <t>Equity Value / Shares = Value per Share</t>
        </is>
      </c>
      <c r="C7" s="9">
        <f>IFERROR(IF(ABS('15_DCF'!B18/'15_DCF'!B19-'15_DCF'!B20)&lt;0.01,"OK","ERROR"),"CHECK INPUTS")</f>
        <v/>
      </c>
      <c r="D7" s="2" t="n"/>
      <c r="E7" s="2" t="n"/>
      <c r="F7" s="2" t="n"/>
      <c r="G7" s="2" t="n"/>
      <c r="H7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Print Package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Sections to print/export for appendix.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5" t="inlineStr">
        <is>
          <t>Output Dashboard</t>
        </is>
      </c>
      <c r="B4" s="2" t="n"/>
      <c r="C4" s="2" t="n"/>
      <c r="D4" s="2" t="n"/>
      <c r="E4" s="2" t="n"/>
      <c r="F4" s="2" t="n"/>
      <c r="G4" s="2" t="n"/>
      <c r="H4" s="2" t="n"/>
    </row>
    <row r="5" ht="22" customHeight="1">
      <c r="A5" s="5" t="inlineStr">
        <is>
          <t>DCF</t>
        </is>
      </c>
      <c r="B5" s="2" t="n"/>
      <c r="C5" s="2" t="n"/>
      <c r="D5" s="2" t="n"/>
      <c r="E5" s="2" t="n"/>
      <c r="F5" s="2" t="n"/>
      <c r="G5" s="2" t="n"/>
      <c r="H5" s="2" t="n"/>
    </row>
    <row r="6" ht="22" customHeight="1">
      <c r="A6" s="5" t="inlineStr">
        <is>
          <t>Trading Comps</t>
        </is>
      </c>
      <c r="B6" s="2" t="n"/>
      <c r="C6" s="2" t="n"/>
      <c r="D6" s="2" t="n"/>
      <c r="E6" s="2" t="n"/>
      <c r="F6" s="2" t="n"/>
      <c r="G6" s="2" t="n"/>
      <c r="H6" s="2" t="n"/>
    </row>
    <row r="7" ht="22" customHeight="1">
      <c r="A7" s="5" t="inlineStr">
        <is>
          <t>Precedents</t>
        </is>
      </c>
      <c r="B7" s="2" t="n"/>
      <c r="C7" s="2" t="n"/>
      <c r="D7" s="2" t="n"/>
      <c r="E7" s="2" t="n"/>
      <c r="F7" s="2" t="n"/>
      <c r="G7" s="2" t="n"/>
      <c r="H7" s="2" t="n"/>
    </row>
    <row r="8" ht="22" customHeight="1">
      <c r="A8" s="5" t="inlineStr">
        <is>
          <t>SOTP</t>
        </is>
      </c>
      <c r="B8" s="2" t="n"/>
      <c r="C8" s="2" t="n"/>
      <c r="D8" s="2" t="n"/>
      <c r="E8" s="2" t="n"/>
      <c r="F8" s="2" t="n"/>
      <c r="G8" s="2" t="n"/>
      <c r="H8" s="2" t="n"/>
    </row>
    <row r="9" ht="22" customHeight="1">
      <c r="A9" s="5" t="inlineStr">
        <is>
          <t>Scenarios</t>
        </is>
      </c>
      <c r="B9" s="2" t="n"/>
      <c r="C9" s="2" t="n"/>
      <c r="D9" s="2" t="n"/>
      <c r="E9" s="2" t="n"/>
      <c r="F9" s="2" t="n"/>
      <c r="G9" s="2" t="n"/>
      <c r="H9" s="2" t="n"/>
    </row>
    <row r="10" ht="22" customHeight="1">
      <c r="A10" s="5" t="inlineStr">
        <is>
          <t>Sensitivities</t>
        </is>
      </c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5" t="inlineStr">
        <is>
          <t>Model Checks</t>
        </is>
      </c>
      <c r="B11" s="2" t="n"/>
      <c r="C11" s="2" t="n"/>
      <c r="D11" s="2" t="n"/>
      <c r="E11" s="2" t="n"/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2026-06-13T22:35:47+00:00Z</dcterms:created>
  <dcterms:modified xmlns:dcterms="http://purl.org/dc/terms/" xmlns:xsi="http://www.w3.org/2001/XMLSchema-instance" xsi:type="dcterms:W3CDTF">2026-06-13T22:35:47+00:00Z</dcterms:modified>
</cp:coreProperties>
</file>