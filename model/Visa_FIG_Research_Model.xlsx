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0d3f8d099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dbd5e8e880743c8"/>
    <x:sheet xmlns:r="http://schemas.openxmlformats.org/officeDocument/2006/relationships" name="Sources" sheetId="2" r:id="R60a37b7a4f8140b4"/>
    <x:sheet xmlns:r="http://schemas.openxmlformats.org/officeDocument/2006/relationships" name="Historical Financials" sheetId="3" r:id="Rd33a937022d64c63"/>
    <x:sheet xmlns:r="http://schemas.openxmlformats.org/officeDocument/2006/relationships" name="Operating KPIs" sheetId="4" r:id="R2f3df904e87d4ed3"/>
    <x:sheet xmlns:r="http://schemas.openxmlformats.org/officeDocument/2006/relationships" name="Forecast" sheetId="5" r:id="R6cdda5d7fea646ec"/>
    <x:sheet xmlns:r="http://schemas.openxmlformats.org/officeDocument/2006/relationships" name="Valuation" sheetId="6" r:id="R865312ba3af04a76"/>
    <x:sheet xmlns:r="http://schemas.openxmlformats.org/officeDocument/2006/relationships" name="Peer Comps" sheetId="7" r:id="Rd9bf9f250aae4e29"/>
    <x:sheet xmlns:r="http://schemas.openxmlformats.org/officeDocument/2006/relationships" name="Charts" sheetId="8" r:id="Re7e7b1643c4b413e"/>
    <x:sheet xmlns:r="http://schemas.openxmlformats.org/officeDocument/2006/relationships" name="Interview Prep" sheetId="9" r:id="R5f05b1fece4b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$0.00;[Red]($0.00);-"/>
    <x:numFmt numFmtId="202" formatCode="#,##0.0;[Red](#,##0.0);-"/>
    <x:numFmt numFmtId="203" formatCode="0.00;[Red](0.00);-"/>
    <x:numFmt numFmtId="204" formatCode="0.0x;[Red](0.0x);-"/>
  </x:numFmts>
  <x:fonts count="10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i/>
      <x:sz val="9"/>
      <x:color rgb="4B5563"/>
      <x:name val="Carlito"/>
    </x:font>
    <x:font>
      <x:b/>
      <x:sz val="10"/>
      <x:color rgb="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111827"/>
      </x:patternFill>
    </x:fill>
    <x:fill>
      <x:patternFill patternType="solid">
        <x:fgColor rgb="FFFF00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0" fillId="0" borderId="1" xfId="0" applyNumberFormat="1" applyFont="1" applyFill="1" applyBorder="1"/>
    <x:xf numFmtId="201" fontId="4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/>
    <x:xf numFmtId="203" fontId="5" fillId="0" borderId="0" xfId="0" applyNumberFormat="1" applyFont="1" applyFill="1" applyBorder="1"/>
    <x:xf numFmtId="202" fontId="5" fillId="0" borderId="1" xfId="0" applyNumberFormat="1" applyFont="1" applyFill="1" applyBorder="1"/>
    <x:xf numFmtId="200" fontId="5" fillId="0" borderId="1" xfId="0" applyNumberFormat="1" applyFont="1" applyFill="1" applyBorder="1"/>
    <x:xf numFmtId="203" fontId="5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3" fontId="5" fillId="4" borderId="0" xfId="0" applyNumberFormat="1" applyFont="1" applyFill="1" applyBorder="1"/>
    <x:xf numFmtId="203" fontId="5" fillId="4" borderId="1" xfId="0" applyNumberFormat="1" applyFont="1" applyFill="1" applyBorder="1"/>
    <x:xf numFmtId="200" fontId="5" fillId="4" borderId="0" xfId="0" applyNumberFormat="1" applyFont="1" applyFill="1" applyBorder="1"/>
    <x:xf numFmtId="200" fontId="5" fillId="4" borderId="1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0" fontId="5" fillId="4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 applyAlignment="1">
      <x:alignment horizontal="right"/>
    </x:xf>
    <x:xf numFmtId="203" fontId="5" fillId="4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0" fontId="5" fillId="4" borderId="1" xfId="0" applyNumberFormat="1" applyFont="1" applyFill="1" applyBorder="1" applyAlignment="1">
      <x:alignment horizontal="right"/>
    </x:xf>
    <x:xf numFmtId="203" fontId="0" fillId="0" borderId="1" xfId="0" applyNumberFormat="1" applyFont="1" applyFill="1" applyBorder="1" applyAlignment="1">
      <x:alignment horizontal="right"/>
    </x:xf>
    <x:xf numFmtId="203" fontId="5" fillId="4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203" fontId="0" fillId="4" borderId="0" xfId="0" applyNumberFormat="1" applyFont="1" applyFill="1" applyBorder="1" applyAlignment="1">
      <x:alignment horizontal="right"/>
    </x:xf>
    <x:xf numFmtId="204" fontId="0" fillId="4" borderId="0" xfId="0" applyNumberFormat="1" applyFont="1" applyFill="1" applyBorder="1" applyAlignment="1">
      <x:alignment horizontal="right"/>
    </x:xf>
    <x:xf numFmtId="203" fontId="0" fillId="4" borderId="1" xfId="0" applyNumberFormat="1" applyFont="1" applyFill="1" applyBorder="1" applyAlignment="1">
      <x:alignment horizontal="right"/>
    </x:xf>
    <x:xf numFmtId="204" fontId="0" fillId="4" borderId="1" xfId="0" applyNumberFormat="1" applyFont="1" applyFill="1" applyBorder="1" applyAlignment="1">
      <x:alignment horizontal="right"/>
    </x:xf>
    <x:xf numFmtId="204" fontId="5" fillId="4" borderId="0" xfId="0" applyNumberFormat="1" applyFont="1" applyFill="1" applyBorder="1" applyAlignment="1">
      <x:alignment horizontal="right"/>
    </x:xf>
    <x:xf numFmtId="204" fontId="5" fillId="4" borderId="1" xfId="0" applyNumberFormat="1" applyFont="1" applyFill="1" applyBorder="1" applyAlignment="1">
      <x:alignment horizontal="right"/>
    </x:xf>
    <x:xf numFmtId="201" fontId="6" fillId="0" borderId="0" xfId="0" applyNumberFormat="1" applyFont="1" applyFill="1" applyBorder="1" applyAlignment="1">
      <x:alignment horizontal="right"/>
    </x:xf>
    <x:xf numFmtId="200" fontId="6" fillId="0" borderId="0" xfId="0" applyNumberFormat="1" applyFont="1" applyFill="1" applyBorder="1" applyAlignment="1">
      <x:alignment horizontal="right"/>
    </x:xf>
    <x:xf numFmtId="201" fontId="6" fillId="0" borderId="1" xfId="0" applyNumberFormat="1" applyFont="1" applyFill="1" applyBorder="1" applyAlignment="1">
      <x:alignment horizontal="right"/>
    </x:xf>
    <x:xf numFmtId="200" fontId="6" fillId="0" borderId="1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8" fillId="2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8" fillId="2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8" fillId="2" borderId="1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a712ef62f4ba3" /><Relationship Type="http://schemas.openxmlformats.org/officeDocument/2006/relationships/theme" Target="/xl/theme/theme1.xml" Id="R8857ffed6b094cbe" /><Relationship Type="http://schemas.openxmlformats.org/officeDocument/2006/relationships/sharedStrings" Target="/xl/sharedStrings.xml" Id="R8fd51b0cf3364704" /><Relationship Type="http://schemas.openxmlformats.org/officeDocument/2006/relationships/worksheet" Target="/xl/worksheets/sheet1.xml" Id="Radbd5e8e880743c8" /><Relationship Type="http://schemas.openxmlformats.org/officeDocument/2006/relationships/worksheet" Target="/xl/worksheets/sheet2.xml" Id="R60a37b7a4f8140b4" /><Relationship Type="http://schemas.openxmlformats.org/officeDocument/2006/relationships/worksheet" Target="/xl/worksheets/sheet3.xml" Id="Rd33a937022d64c63" /><Relationship Type="http://schemas.openxmlformats.org/officeDocument/2006/relationships/worksheet" Target="/xl/worksheets/sheet4.xml" Id="R2f3df904e87d4ed3" /><Relationship Type="http://schemas.openxmlformats.org/officeDocument/2006/relationships/worksheet" Target="/xl/worksheets/sheet5.xml" Id="R6cdda5d7fea646ec" /><Relationship Type="http://schemas.openxmlformats.org/officeDocument/2006/relationships/worksheet" Target="/xl/worksheets/sheet6.xml" Id="R865312ba3af04a76" /><Relationship Type="http://schemas.openxmlformats.org/officeDocument/2006/relationships/worksheet" Target="/xl/worksheets/sheet7.xml" Id="Rd9bf9f250aae4e29" /><Relationship Type="http://schemas.openxmlformats.org/officeDocument/2006/relationships/worksheet" Target="/xl/worksheets/sheet8.xml" Id="Re7e7b1643c4b413e" /><Relationship Type="http://schemas.openxmlformats.org/officeDocument/2006/relationships/worksheet" Target="/xl/worksheets/sheet9.xml" Id="R5f05b1fece4b49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c6535598c244b6" /><Relationship Type="http://schemas.openxmlformats.org/officeDocument/2006/relationships/chart" Target="/xl/drawings/charts/chart2.xml" Id="R0d77c40d53ee4388" /><Relationship Type="http://schemas.openxmlformats.org/officeDocument/2006/relationships/chart" Target="/xl/drawings/charts/chart3.xml" Id="R788f533646f04e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Visa Net Revenue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Net Revenue ($bn)</c:v>
          </c:tx>
          <c:cat>
            <c:strRef>
              <c:f>'Charts'!$A$4:$A$9</c:f>
              <c:strCache>
                <c:ptCount val="0"/>
              </c:strCache>
            </c:strRef>
          </c:cat>
          <c:val>
            <c:numRef>
              <c:f>'Charts'!$B$4:$B$9</c:f>
              <c:numCache>
                <c:formatCode>#,##0.0;[Red](#,##0.0);-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Visa Non-GAAP EPS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Peer P/E Multiples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c6535598c244b6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77c40d53ee4388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8f533646f04e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istoricalFinancialsTable" displayName="HistoricalFinancialsTable" ref="A2:D25" headerRowCount="1">
  <x:tableColumns count="4">
    <x:tableColumn id="1" name="Metric"/>
    <x:tableColumn id="2" name="FY2023A"/>
    <x:tableColumn id="3" name="FY2024A"/>
    <x:tableColumn id="4" name="FY2025A"/>
  </x:tableColumns>
  <x:tableStyleInfo name="TableStyleMedium2" showRowStripes="1"/>
</x:table>
</file>

<file path=xl/tables/table2.xml><?xml version="1.0" encoding="utf-8"?>
<x:table xmlns:x="http://schemas.openxmlformats.org/spreadsheetml/2006/main" id="2" name="OperatingKPITable" displayName="OperatingKPITable" ref="A2:E10" headerRowCount="1">
  <x:tableColumns count="5">
    <x:tableColumn id="1" name="KPI"/>
    <x:tableColumn id="2" name="FY2023A"/>
    <x:tableColumn id="3" name="FY2024A"/>
    <x:tableColumn id="4" name="FY2025A"/>
    <x:tableColumn id="5" name="2Q FY2026 / Latest"/>
  </x:tableColumns>
  <x:tableStyleInfo name="TableStyleMedium2" showRowStripes="1"/>
</x:table>
</file>

<file path=xl/tables/table3.xml><?xml version="1.0" encoding="utf-8"?>
<x:table xmlns:x="http://schemas.openxmlformats.org/spreadsheetml/2006/main" id="3" name="ForecastTable" displayName="ForecastTable" ref="A2:E11" headerRowCount="1">
  <x:tableColumns count="5">
    <x:tableColumn id="1" name="Metric"/>
    <x:tableColumn id="2" name="FY2025A"/>
    <x:tableColumn id="3" name="FY2026E"/>
    <x:tableColumn id="4" name="FY2027E"/>
    <x:tableColumn id="5" name="FY2028E"/>
  </x:tableColumns>
  <x:tableStyleInfo name="TableStyleMedium2" showRowStripes="1"/>
</x:table>
</file>

<file path=xl/tables/table4.xml><?xml version="1.0" encoding="utf-8"?>
<x:table xmlns:x="http://schemas.openxmlformats.org/spreadsheetml/2006/main" id="4" name="ValuationScenarioTable" displayName="ValuationScenarioTable" ref="A3:F6" headerRowCount="1">
  <x:tableColumns count="6">
    <x:tableColumn id="1" name="Scenario"/>
    <x:tableColumn id="2" name="FY2027E EPS"/>
    <x:tableColumn id="3" name="Target P/E"/>
    <x:tableColumn id="4" name="Target Price"/>
    <x:tableColumn id="5" name="Current Price"/>
    <x:tableColumn id="6" name="Upside / Downside"/>
  </x:tableColumns>
  <x:tableStyleInfo name="TableStyleMedium2" showRowStripes="1"/>
</x:table>
</file>

<file path=xl/tables/table5.xml><?xml version="1.0" encoding="utf-8"?>
<x:table xmlns:x="http://schemas.openxmlformats.org/spreadsheetml/2006/main" id="5" name="PeerCompsTable" displayName="PeerCompsTable" ref="A2:H10" headerRowCount="1">
  <x:tableColumns count="8">
    <x:tableColumn id="1" name="Company"/>
    <x:tableColumn id="2" name="Ticker"/>
    <x:tableColumn id="3" name="Price"/>
    <x:tableColumn id="4" name="Market Cap ($bn)"/>
    <x:tableColumn id="5" name="P/E"/>
    <x:tableColumn id="6" name="EV/EBITDA"/>
    <x:tableColumn id="7" name="Business Mix"/>
    <x:tableColumn id="8" name="Source /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adf2bc302ce46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b6331ae718146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2c85f5e37bd4e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3789bb5b2484b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47ae9cd1a7c47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2f3d38c248084f6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98" t="str">
        <x:v>Visa Inc. (NYSE: V) - FIG / Payments Equity Research Report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8" t="str">
        <x:v>Institutional-style portfolio project | Prepared for Investment Banking / Equity Research recruiting | Data as of June 12, 2026</x:v>
      </x:c>
    </x:row>
    <x:row r="4">
      <x:c r="A4" s="13" t="str">
        <x:v>Executive Summary</x:v>
      </x:c>
    </x:row>
    <x:row r="5">
      <x:c r="A5" s="18" t="str">
        <x:v>Recommendation</x:v>
      </x:c>
      <x:c r="B5" t="str">
        <x:v>BUY / Outperform</x:v>
      </x:c>
      <x:c r="C5" s="18" t="str">
        <x:v>Target Price</x:v>
      </x:c>
      <x:c r="D5" s="22" t="n">
        <x:v>380</x:v>
      </x:c>
      <x:c r="E5" s="23" t="str">
        <x:v>Current Price</x:v>
      </x:c>
      <x:c r="F5" s="22" t="n">
        <x:v>322.39</x:v>
      </x:c>
      <x:c r="G5" s="18" t="str">
        <x:v>Implied Upside</x:v>
      </x:c>
      <x:c r="H5" s="20" t="n">
        <x:f>D5/F5-1</x:f>
        <x:v>0.1786966096963305</x:v>
      </x:c>
    </x:row>
    <x:row r="6">
      <x:c r="A6" s="18" t="str">
        <x:v>Company</x:v>
      </x:c>
      <x:c r="B6" t="str">
        <x:v>Visa Inc.</x:v>
      </x:c>
      <x:c r="C6" s="18" t="str">
        <x:v>Ticker</x:v>
      </x:c>
      <x:c r="D6" t="str">
        <x:v>V</x:v>
      </x:c>
      <x:c r="E6" s="18" t="str">
        <x:v>Exchange</x:v>
      </x:c>
      <x:c r="F6" t="str">
        <x:v>NYSE</x:v>
      </x:c>
      <x:c r="G6" s="18" t="str">
        <x:v>Market Cap</x:v>
      </x:c>
      <x:c r="H6" t="str">
        <x:v>$660.9bn</x:v>
      </x:c>
    </x:row>
    <x:row r="7">
      <x:c r="A7" s="18" t="str">
        <x:v>Sector</x:v>
      </x:c>
      <x:c r="B7" t="str">
        <x:v>Financials / Payments</x:v>
      </x:c>
      <x:c r="C7" s="18" t="str">
        <x:v>Business Model</x:v>
      </x:c>
      <x:c r="D7" t="str">
        <x:v>Global card network + value-added services</x:v>
      </x:c>
      <x:c r="E7" s="18" t="str">
        <x:v>Coverage View</x:v>
      </x:c>
      <x:c r="F7" t="str">
        <x:v>High-quality compounder</x:v>
      </x:c>
      <x:c r="G7" s="18" t="str"/>
      <x:c r="H7"/>
    </x:row>
    <x:row r="8">
      <x:c r="A8" s="18" t="str">
        <x:v>Thesis 1</x:v>
      </x:c>
      <x:c r="B8" t="str">
        <x:v>Secular cash displacement and digital commerce growth support high-single / low-double-digit revenue growth.</x:v>
      </x:c>
      <x:c r="C8" t="str"/>
      <x:c r="D8" t="str"/>
      <x:c r="E8" t="str"/>
      <x:c r="F8" t="str"/>
      <x:c r="G8" t="str"/>
      <x:c r="H8" t="str"/>
    </x:row>
    <x:row r="9">
      <x:c r="A9" s="18" t="str">
        <x:v>Thesis 2</x:v>
      </x:c>
      <x:c r="B9" t="str">
        <x:v>Visa's asset-light network model produces structurally high margins, high ROIC, and strong free cash flow conversion.</x:v>
      </x:c>
      <x:c r="C9" t="str"/>
      <x:c r="D9" t="str"/>
      <x:c r="E9" t="str"/>
      <x:c r="F9" t="str"/>
      <x:c r="G9" t="str"/>
      <x:c r="H9" t="str"/>
    </x:row>
    <x:row r="10">
      <x:c r="A10" s="18" t="str">
        <x:v>Thesis 3</x:v>
      </x:c>
      <x:c r="B10" t="str">
        <x:v>Value-added services, tokenization, risk products, B2B, stablecoin settlement, and agentic commerce expand the addressable market.</x:v>
      </x:c>
      <x:c r="C10" t="str"/>
      <x:c r="D10" t="str"/>
      <x:c r="E10" t="str"/>
      <x:c r="F10" t="str"/>
      <x:c r="G10" t="str"/>
      <x:c r="H10" t="str"/>
    </x:row>
    <x:row r="11">
      <x:c r="A11" s="18" t="str">
        <x:v>Key Debates</x:v>
      </x:c>
      <x:c r="B11" t="str">
        <x:v>Regulation/interchange pressure, domestic scheme competition, real-time payments, macro travel/cross-border cyclicality, and technology shifts.</x:v>
      </x:c>
      <x:c r="C11" t="str"/>
      <x:c r="D11" t="str"/>
      <x:c r="E11" t="str"/>
      <x:c r="F11" t="str"/>
      <x:c r="G11" t="str"/>
      <x:c r="H11" t="str"/>
    </x:row>
    <x:row r="13">
      <x:c r="A13" s="13" t="str">
        <x:v>Workbook Navigation</x:v>
      </x:c>
    </x:row>
    <x:row r="14">
      <x:c r="A14" s="29" t="str">
        <x:v>Tab</x:v>
      </x:c>
      <x:c r="B14" s="29" t="str">
        <x:v>Purpose</x:v>
      </x:c>
      <x:c r="C14" s="29" t="str">
        <x:v>Analyst Use</x:v>
      </x:c>
    </x:row>
    <x:row r="15">
      <x:c r="A15" t="str">
        <x:v>Historical Financials</x:v>
      </x:c>
      <x:c r="B15" t="str">
        <x:v>FY2023-FY2025 revenue, expenses, margins, EPS</x:v>
      </x:c>
      <x:c r="C15" t="str">
        <x:v>Build fact base from 10-K / annual report</x:v>
      </x:c>
    </x:row>
    <x:row r="16">
      <x:c r="A16" t="str">
        <x:v>Operating KPIs</x:v>
      </x:c>
      <x:c r="B16" t="str">
        <x:v>Payments volume, processed transactions, credentials, geographic mix</x:v>
      </x:c>
      <x:c r="C16" t="str">
        <x:v>Tie operating drivers to model outputs</x:v>
      </x:c>
    </x:row>
    <x:row r="17">
      <x:c r="A17" t="str">
        <x:v>Forecast</x:v>
      </x:c>
      <x:c r="B17" t="str">
        <x:v>Revenue, margin, EPS, scenario drivers</x:v>
      </x:c>
      <x:c r="C17" t="str">
        <x:v>Base case and sensitivity framework</x:v>
      </x:c>
    </x:row>
    <x:row r="18">
      <x:c r="A18" t="str">
        <x:v>Valuation</x:v>
      </x:c>
      <x:c r="B18" t="str">
        <x:v>EPS multiple valuation and scenario analysis</x:v>
      </x:c>
      <x:c r="C18" t="str">
        <x:v>Recommendation and target price</x:v>
      </x:c>
    </x:row>
    <x:row r="19">
      <x:c r="A19" t="str">
        <x:v>Peer Comps</x:v>
      </x:c>
      <x:c r="B19" t="str">
        <x:v>V / MA / AXP / FI / GPN / FOUR comps</x:v>
      </x:c>
      <x:c r="C19" t="str">
        <x:v>Relative valuation and sector positioning</x:v>
      </x:c>
    </x:row>
    <x:row r="20">
      <x:c r="A20" t="str">
        <x:v>Charts</x:v>
      </x:c>
      <x:c r="B20" t="str">
        <x:v>Trend and peer visuals</x:v>
      </x:c>
      <x:c r="C20" t="str">
        <x:v>Presentation-ready exhibits</x:v>
      </x:c>
    </x:row>
  </x:sheetData>
  <x:mergeCells>
    <x:mergeCell ref="A1:H1"/>
    <x:mergeCell ref="A2:H2"/>
    <x:mergeCell ref="A4:H4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70" hidden="0" customWidth="1"/>
  </x:cols>
  <x:sheetData>
    <x:row r="1">
      <x:c r="A1" s="108" t="str">
        <x:v>Source</x:v>
      </x:c>
      <x:c r="B1" s="108" t="str">
        <x:v>Use in Model / Report</x:v>
      </x:c>
      <x:c r="C1" s="108" t="str">
        <x:v>URL</x:v>
      </x:c>
      <x:c r="D1" s="99"/>
      <x:c r="E1" s="99"/>
      <x:c r="F1" s="99"/>
      <x:c r="G1" s="99"/>
      <x:c r="H1" s="99"/>
      <x:c r="I1" s="99"/>
      <x:c r="J1" s="99"/>
      <x:c r="K1" s="99"/>
    </x:row>
    <x:row r="2">
      <x:c r="A2" t="str">
        <x:v>Visa FY2025 Annual Report</x:v>
      </x:c>
      <x:c r="B2" t="str">
        <x:v>FY2023-FY2025 financial statements, KPIs, revenue streams, geographic split, business description</x:v>
      </x:c>
      <x:c r="C2" t="str">
        <x:v>https://s1.q4cdn.com/050606653/files/doc_financials/2025/ar/Visa-2025-Annual-Report.pdf</x:v>
      </x:c>
    </x:row>
    <x:row r="3">
      <x:c r="A3" t="str">
        <x:v>Visa FY2025 Annual Report landing page</x:v>
      </x:c>
      <x:c r="B3" t="str">
        <x:v>Annual report and financial highlights</x:v>
      </x:c>
      <x:c r="C3" t="str">
        <x:v>https://investor.visa.com/financial-information/annual-reports-and-proxies/default.aspx</x:v>
      </x:c>
    </x:row>
    <x:row r="4">
      <x:c r="A4" t="str">
        <x:v>Visa Q2 FY2026 Earnings Release</x:v>
      </x:c>
      <x:c r="B4" t="str">
        <x:v>Latest quarter revenue, margins, EPS, KPI growth, buybacks, liquidity</x:v>
      </x:c>
      <x:c r="C4" t="str">
        <x:v>https://www.sec.gov/Archives/edgar/data/1403161/000140316126000068/exhibit991q2fy26.htm</x:v>
      </x:c>
    </x:row>
    <x:row r="5">
      <x:c r="A5" t="str">
        <x:v>Visa Q2 FY2026 Earnings Call Transcript</x:v>
      </x:c>
      <x:c r="B5" t="str">
        <x:v>Management commentary, strategic priorities, risks, forward-looking observations</x:v>
      </x:c>
      <x:c r="C5" t="str">
        <x:v>https://s1.q4cdn.com/050606653/files/doc_financials/2026/q2/Visa-F2Q-2026-Earnings-Call-Transcript-Final.pdf</x:v>
      </x:c>
    </x:row>
    <x:row r="6">
      <x:c r="A6" t="str">
        <x:v>Visa Q2 FY2026 Financial Supplement</x:v>
      </x:c>
      <x:c r="B6" t="str">
        <x:v>Quarterly financial tables and reconciliations</x:v>
      </x:c>
      <x:c r="C6" t="str">
        <x:v>https://s1.q4cdn.com/050606653/files/doc_financials/2026/q2/Visa-F2Q-2026-Financial-Supplement.pdf</x:v>
      </x:c>
    </x:row>
    <x:row r="7">
      <x:c r="A7" t="str">
        <x:v>McKinsey Global Payments Report 2025</x:v>
      </x:c>
      <x:c r="B7" t="str">
        <x:v>Industry revenue growth and structural themes</x:v>
      </x:c>
      <x:c r="C7" t="str">
        <x:v>https://www.mckinsey.com/industries/financial-services/our-insights/global-payments-in-2025-simpler-interfaces-complex-reality</x:v>
      </x:c>
    </x:row>
    <x:row r="8">
      <x:c r="A8" t="str">
        <x:v>Nilson Report / US purchase volume</x:v>
      </x:c>
      <x:c r="B8" t="str">
        <x:v>Competitive market share and US purchase volume</x:v>
      </x:c>
      <x:c r="C8" t="str">
        <x:v>https://nilsonreport.com/newsletters/1265/</x:v>
      </x:c>
    </x:row>
    <x:row r="9">
      <x:c r="A9" t="str">
        <x:v>Reuters - Visa/Mastercard merchant settlement</x:v>
      </x:c>
      <x:c r="B9" t="str">
        <x:v>Regulatory / interchange risk</x:v>
      </x:c>
      <x:c r="C9" t="str">
        <x:v>https://www.reuters.com/legal/government/judge-set-preliminarily-approve-visa-mastercard-swipe-fee-settlement-2026-06-01/</x:v>
      </x:c>
    </x:row>
    <x:row r="10">
      <x:c r="A10" t="str">
        <x:v>Visa AI / agentic commerce announcement</x:v>
      </x:c>
      <x:c r="B10" t="str">
        <x:v>Technology strategy and emerging growth vectors</x:v>
      </x:c>
      <x:c r="C10" t="str">
        <x:v>https://usa.visa.com/about-visa/newsroom/press-releases.releaseId.21696.html</x:v>
      </x:c>
    </x:row>
    <x:row r="11">
      <x:c r="A11" t="str">
        <x:v>Visa market data</x:v>
      </x:c>
      <x:c r="B11" t="str">
        <x:v>Current price and market capitalization</x:v>
      </x:c>
      <x:c r="C11" t="str">
        <x:v>Market data snapshot as of June 12, 2026</x:v>
      </x:c>
    </x:row>
    <x:row r="12">
      <x:c r="A12" t="str">
        <x:v>Yahoo Finance / public market data</x:v>
      </x:c>
      <x:c r="B12" t="str">
        <x:v>Peer pricing, market cap, P/E</x:v>
      </x:c>
      <x:c r="C12" t="str">
        <x:v>https://finance.yahoo.com/</x:v>
      </x:c>
    </x:row>
    <x:row r="13">
      <x:c r="A13" t="str">
        <x:v>ValueInvesting.io</x:v>
      </x:c>
      <x:c r="B13" t="str">
        <x:v>Public EV/EBITDA multiple snapshots</x:v>
      </x:c>
      <x:c r="C13" t="str">
        <x:v>https://valueinvesting.io/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98" t="str">
        <x:v>Visa Historical Financials ($ in billions, except EPS)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29" t="str">
        <x:v>Metric</x:v>
      </x:c>
      <x:c r="B2" s="29" t="str">
        <x:v>FY2023A</x:v>
      </x:c>
      <x:c r="C2" s="29" t="str">
        <x:v>FY2024A</x:v>
      </x:c>
      <x:c r="D2" s="29" t="str">
        <x:v>FY2025A</x:v>
      </x:c>
    </x:row>
    <x:row r="3">
      <x:c r="A3" s="18" t="str">
        <x:v>Net Revenue</x:v>
      </x:c>
      <x:c r="B3" s="42" t="n">
        <x:v>32.653</x:v>
      </x:c>
      <x:c r="C3" s="42" t="n">
        <x:v>35.926</x:v>
      </x:c>
      <x:c r="D3" s="42" t="n">
        <x:v>40</x:v>
      </x:c>
    </x:row>
    <x:row r="4">
      <x:c r="A4" s="18" t="str">
        <x:v>% growth</x:v>
      </x:c>
      <x:c r="B4" s="48"/>
      <x:c r="C4" s="48" t="n">
        <x:f>C3/B3-1</x:f>
        <x:v>0.10023581294214945</x:v>
      </x:c>
      <x:c r="D4" s="48" t="n">
        <x:f>D3/C3-1</x:f>
        <x:v>0.11339976618604908</x:v>
      </x:c>
    </x:row>
    <x:row r="5">
      <x:c r="A5" s="18" t="str">
        <x:v>Service Revenue</x:v>
      </x:c>
      <x:c r="B5" s="42" t="n">
        <x:v>14.826</x:v>
      </x:c>
      <x:c r="C5" s="42" t="n">
        <x:v>16.114</x:v>
      </x:c>
      <x:c r="D5" s="42" t="n">
        <x:v>17.539</x:v>
      </x:c>
    </x:row>
    <x:row r="6">
      <x:c r="A6" s="18" t="str">
        <x:v>Data Processing Revenue</x:v>
      </x:c>
      <x:c r="B6" s="42" t="n">
        <x:v>16.007</x:v>
      </x:c>
      <x:c r="C6" s="42" t="n">
        <x:v>17.714</x:v>
      </x:c>
      <x:c r="D6" s="42" t="n">
        <x:v>19.993</x:v>
      </x:c>
    </x:row>
    <x:row r="7">
      <x:c r="A7" s="18" t="str">
        <x:v>International Transaction Revenue</x:v>
      </x:c>
      <x:c r="B7" s="42" t="n">
        <x:v>11.638</x:v>
      </x:c>
      <x:c r="C7" s="42" t="n">
        <x:v>12.665</x:v>
      </x:c>
      <x:c r="D7" s="42" t="n">
        <x:v>14.166</x:v>
      </x:c>
    </x:row>
    <x:row r="8">
      <x:c r="A8" s="18" t="str">
        <x:v>Other Revenue</x:v>
      </x:c>
      <x:c r="B8" s="42" t="n">
        <x:v>2.479</x:v>
      </x:c>
      <x:c r="C8" s="42" t="n">
        <x:v>3.197</x:v>
      </x:c>
      <x:c r="D8" s="42" t="n">
        <x:v>4.053</x:v>
      </x:c>
    </x:row>
    <x:row r="9">
      <x:c r="A9" s="18" t="str">
        <x:v>Client Incentives</x:v>
      </x:c>
      <x:c r="B9" s="42" t="n">
        <x:v>-12.297</x:v>
      </x:c>
      <x:c r="C9" s="42" t="n">
        <x:v>-13.764</x:v>
      </x:c>
      <x:c r="D9" s="42" t="n">
        <x:v>-15.751</x:v>
      </x:c>
    </x:row>
    <x:row r="10">
      <x:c r="A10" s="18" t="str">
        <x:v>Gross Revenue before Incentives</x:v>
      </x:c>
      <x:c r="B10" s="50" t="n">
        <x:f>SUM(B5:B8)</x:f>
        <x:v>44.95</x:v>
      </x:c>
      <x:c r="C10" s="50" t="n">
        <x:f>SUM(C5:C8)</x:f>
        <x:v>49.690000000000005</x:v>
      </x:c>
      <x:c r="D10" s="50" t="n">
        <x:f>SUM(D5:D8)</x:f>
        <x:v>55.75099999999999</x:v>
      </x:c>
    </x:row>
    <x:row r="11">
      <x:c r="A11" s="18" t="str">
        <x:v>Incentives as % of Gross Revenue</x:v>
      </x:c>
      <x:c r="B11" s="48" t="n">
        <x:f>B9/B10</x:f>
        <x:v>-0.2735706340378198</x:v>
      </x:c>
      <x:c r="C11" s="48" t="n">
        <x:f>C9/C10</x:f>
        <x:v>-0.27699738377943245</x:v>
      </x:c>
      <x:c r="D11" s="48" t="n">
        <x:f>D9/D10</x:f>
        <x:v>-0.2825240802855555</x:v>
      </x:c>
    </x:row>
    <x:row r="12">
      <x:c r="A12" s="18" t="str">
        <x:v>GAAP Operating Expense</x:v>
      </x:c>
      <x:c r="B12" s="42" t="n">
        <x:v>11.653</x:v>
      </x:c>
      <x:c r="C12" s="42" t="n">
        <x:v>12.331</x:v>
      </x:c>
      <x:c r="D12" s="42" t="n">
        <x:v>16.006</x:v>
      </x:c>
    </x:row>
    <x:row r="13">
      <x:c r="A13" s="18" t="str">
        <x:v>GAAP Operating Margin</x:v>
      </x:c>
      <x:c r="B13" s="48" t="n">
        <x:f>1-B12/B3</x:f>
        <x:v>0.6431262058616359</x:v>
      </x:c>
      <x:c r="C13" s="48" t="n">
        <x:f>1-C12/C3</x:f>
        <x:v>0.6567666870789958</x:v>
      </x:c>
      <x:c r="D13" s="48" t="n">
        <x:f>1-D12/D3</x:f>
        <x:v>0.59985</x:v>
      </x:c>
    </x:row>
    <x:row r="14">
      <x:c r="A14" s="18" t="str">
        <x:v>Non-GAAP Operating Expense</x:v>
      </x:c>
      <x:c r="B14" s="42" t="n">
        <x:v>10.481</x:v>
      </x:c>
      <x:c r="C14" s="42" t="n">
        <x:v>11.609</x:v>
      </x:c>
      <x:c r="D14" s="42" t="n">
        <x:v>12.906</x:v>
      </x:c>
    </x:row>
    <x:row r="15">
      <x:c r="A15" s="18" t="str">
        <x:v>Non-GAAP Operating Margin</x:v>
      </x:c>
      <x:c r="B15" s="48" t="n">
        <x:f>1-B14/B3</x:f>
        <x:v>0.6790187731601997</x:v>
      </x:c>
      <x:c r="C15" s="48" t="n">
        <x:f>1-C14/C3</x:f>
        <x:v>0.676863552858654</x:v>
      </x:c>
      <x:c r="D15" s="48" t="n">
        <x:f>1-D14/D3</x:f>
        <x:v>0.67735</x:v>
      </x:c>
    </x:row>
    <x:row r="16">
      <x:c r="A16" s="18" t="str">
        <x:v>GAAP Net Income</x:v>
      </x:c>
      <x:c r="B16" s="42" t="n">
        <x:v>17.273</x:v>
      </x:c>
      <x:c r="C16" s="42" t="n">
        <x:v>19.743</x:v>
      </x:c>
      <x:c r="D16" s="42" t="n">
        <x:v>20.058</x:v>
      </x:c>
    </x:row>
    <x:row r="17">
      <x:c r="A17" s="18" t="str">
        <x:v>GAAP Net Margin</x:v>
      </x:c>
      <x:c r="B17" s="48" t="n">
        <x:f>B16/B3</x:f>
        <x:v>0.5289866168499066</x:v>
      </x:c>
      <x:c r="C17" s="48" t="n">
        <x:f>C16/C3</x:f>
        <x:v>0.5495462895952791</x:v>
      </x:c>
      <x:c r="D17" s="48" t="n">
        <x:f>D16/D3</x:f>
        <x:v>0.50145</x:v>
      </x:c>
    </x:row>
    <x:row r="18">
      <x:c r="A18" s="18" t="str">
        <x:v>Non-GAAP Net Income</x:v>
      </x:c>
      <x:c r="B18" s="42" t="n">
        <x:v>18.28</x:v>
      </x:c>
      <x:c r="C18" s="42" t="n">
        <x:v>20.389</x:v>
      </x:c>
      <x:c r="D18" s="42" t="n">
        <x:v>22.542</x:v>
      </x:c>
    </x:row>
    <x:row r="19">
      <x:c r="A19" s="18" t="str">
        <x:v>Non-GAAP Net Margin</x:v>
      </x:c>
      <x:c r="B19" s="48" t="n">
        <x:f>B18/B3</x:f>
        <x:v>0.5598260496738432</x:v>
      </x:c>
      <x:c r="C19" s="48" t="n">
        <x:f>C18/C3</x:f>
        <x:v>0.5675276958191838</x:v>
      </x:c>
      <x:c r="D19" s="48" t="n">
        <x:f>D18/D3</x:f>
        <x:v>0.56355</x:v>
      </x:c>
    </x:row>
    <x:row r="20">
      <x:c r="A20" s="18" t="str">
        <x:v>Non-GAAP EPS</x:v>
      </x:c>
      <x:c r="B20" s="44" t="n">
        <x:v>8.77</x:v>
      </x:c>
      <x:c r="C20" s="44" t="n">
        <x:v>10.05</x:v>
      </x:c>
      <x:c r="D20" s="44" t="n">
        <x:v>11.47</x:v>
      </x:c>
    </x:row>
    <x:row r="21">
      <x:c r="A21" s="18" t="str">
        <x:v>% growth</x:v>
      </x:c>
      <x:c r="B21" s="48"/>
      <x:c r="C21" s="48" t="n">
        <x:f>C20/B20-1</x:f>
        <x:v>0.14595210946408232</x:v>
      </x:c>
      <x:c r="D21" s="48" t="n">
        <x:f>D20/C20-1</x:f>
        <x:v>0.14129353233830844</x:v>
      </x:c>
    </x:row>
    <x:row r="22">
      <x:c r="A22" s="18" t="str">
        <x:v>U.S. Revenue</x:v>
      </x:c>
      <x:c r="B22" s="42" t="n">
        <x:v>14.138</x:v>
      </x:c>
      <x:c r="C22" s="42" t="n">
        <x:v>14.78</x:v>
      </x:c>
      <x:c r="D22" s="42" t="n">
        <x:v>15.633</x:v>
      </x:c>
    </x:row>
    <x:row r="23">
      <x:c r="A23" s="18" t="str">
        <x:v>International Revenue</x:v>
      </x:c>
      <x:c r="B23" s="42" t="n">
        <x:v>18.515</x:v>
      </x:c>
      <x:c r="C23" s="42" t="n">
        <x:v>21.146</x:v>
      </x:c>
      <x:c r="D23" s="42" t="n">
        <x:v>24.367</x:v>
      </x:c>
    </x:row>
    <x:row r="24">
      <x:c r="A24" s="18" t="str">
        <x:v>International Revenue Mix</x:v>
      </x:c>
      <x:c r="B24" s="42" t="n">
        <x:f>B23/B3</x:f>
        <x:v>0.5670229381680091</x:v>
      </x:c>
      <x:c r="C24" s="42" t="n">
        <x:f>C23/C3</x:f>
        <x:v>0.5885987863942549</x:v>
      </x:c>
      <x:c r="D24" s="42" t="n">
        <x:f>D23/D3</x:f>
        <x:v>0.609175</x:v>
      </x:c>
    </x:row>
    <x:row r="25">
      <x:c r="A25" s="18"/>
      <x:c r="B25" s="48"/>
      <x:c r="C25" s="48"/>
      <x:c r="D25" s="48"/>
    </x:row>
    <x:row r="27">
      <x:c r="A27" s="52" t="str">
        <x:v>Source: Visa FY2025 Annual Report. Figures are rounded and should be refreshed if used for live recruiting conversations.</x:v>
      </x:c>
    </x:row>
  </x:sheetData>
  <x:mergeCells>
    <x:mergeCell ref="A1:D1"/>
    <x:mergeCell ref="A27:D27"/>
  </x:mergeCells>
  <x:pageMargins left="0.7" right="0.7" top="0.75" bottom="0.75" header="0.3" footer="0.3"/>
  <x:tableParts count="1">
    <x:tablePart xmlns:r="http://schemas.openxmlformats.org/officeDocument/2006/relationships" r:id="Readf2bc302ce46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26" hidden="0" customWidth="1"/>
    <x:col min="5" max="5" width="42" hidden="0" customWidth="1"/>
  </x:cols>
  <x:sheetData>
    <x:row r="1">
      <x:c r="A1" s="98" t="str">
        <x:v>Operating KPIs and Business Drivers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29" t="str">
        <x:v>KPI</x:v>
      </x:c>
      <x:c r="B2" s="29" t="str">
        <x:v>FY2023A</x:v>
      </x:c>
      <x:c r="C2" s="29" t="str">
        <x:v>FY2024A</x:v>
      </x:c>
      <x:c r="D2" s="29" t="str">
        <x:v>FY2025A</x:v>
      </x:c>
      <x:c r="E2" s="29" t="str">
        <x:v>2Q FY2026 / Latest</x:v>
      </x:c>
    </x:row>
    <x:row r="3">
      <x:c r="A3" s="18" t="str">
        <x:v>Payments Volume ($tn)</x:v>
      </x:c>
      <x:c r="B3" s="38" t="n">
        <x:v>12.3</x:v>
      </x:c>
      <x:c r="C3" s="38" t="n">
        <x:v>13.2</x:v>
      </x:c>
      <x:c r="D3" s="38" t="n">
        <x:v>14.2</x:v>
      </x:c>
      <x:c r="E3" t="str">
        <x:v>Q2 growth: +9% YoY</x:v>
      </x:c>
    </x:row>
    <x:row r="4">
      <x:c r="A4" s="18" t="str">
        <x:v>Processed Transactions (bn)</x:v>
      </x:c>
      <x:c r="B4" s="38" t="n">
        <x:v>212.6</x:v>
      </x:c>
      <x:c r="C4" s="38" t="n">
        <x:v>233.8</x:v>
      </x:c>
      <x:c r="D4" s="38" t="n">
        <x:v>257.5</x:v>
      </x:c>
      <x:c r="E4" t="str">
        <x:v>66.1bn in Q2; +9% YoY</x:v>
      </x:c>
    </x:row>
    <x:row r="5">
      <x:c r="A5" s="18" t="str">
        <x:v>Credentials (bn)</x:v>
      </x:c>
      <x:c r="B5" s="38" t="n">
        <x:v>4.3</x:v>
      </x:c>
      <x:c r="C5" s="38" t="n">
        <x:v>4.6</x:v>
      </x:c>
      <x:c r="D5" s="38" t="n">
        <x:v>4.9</x:v>
      </x:c>
      <x:c r="E5" t="str">
        <x:v>Scale supports network effects</x:v>
      </x:c>
    </x:row>
    <x:row r="6">
      <x:c r="A6" s="18" t="str">
        <x:v>Total Volume ($tn)</x:v>
      </x:c>
      <x:c r="B6" s="38" t="n">
        <x:v>15.4</x:v>
      </x:c>
      <x:c r="C6" s="38" t="n">
        <x:v>16.5</x:v>
      </x:c>
      <x:c r="D6" s="38" t="n">
        <x:v>17.8</x:v>
      </x:c>
      <x:c r="E6" t="str">
        <x:v>Consumer + commercial flows</x:v>
      </x:c>
    </x:row>
    <x:row r="7">
      <x:c r="A7" s="18" t="str">
        <x:v>Total Transactions (bn)</x:v>
      </x:c>
      <x:c r="B7" s="38" t="n">
        <x:v>276.1</x:v>
      </x:c>
      <x:c r="C7" s="38" t="n">
        <x:v>301.5</x:v>
      </x:c>
      <x:c r="D7" s="38" t="n">
        <x:v>331.5</x:v>
      </x:c>
      <x:c r="E7" t="str">
        <x:v>Usage intensity / digital adoption</x:v>
      </x:c>
    </x:row>
    <x:row r="8">
      <x:c r="A8" s="18" t="str">
        <x:v>Tap-to-Pay Penetration</x:v>
      </x:c>
      <x:c r="B8"/>
      <x:c r="C8"/>
      <x:c r="D8" t="str">
        <x:v>79% of face-to-face globally in Sep. 2025</x:v>
      </x:c>
      <x:c r="E8" t="str">
        <x:v>Ex-U.S. adoption remains a tailwind</x:v>
      </x:c>
    </x:row>
    <x:row r="9">
      <x:c r="A9" s="18" t="str">
        <x:v>International Revenue Mix</x:v>
      </x:c>
      <x:c r="B9" s="20" t="n">
        <x:f>'Historical Financials'!B25</x:f>
        <x:v>0</x:v>
      </x:c>
      <x:c r="C9" s="20" t="n">
        <x:f>'Historical Financials'!C25</x:f>
        <x:v>0</x:v>
      </x:c>
      <x:c r="D9" s="20" t="n">
        <x:f>'Historical Financials'!D25</x:f>
        <x:v>0</x:v>
      </x:c>
      <x:c r="E9" t="str">
        <x:v>Cross-border sensitive</x:v>
      </x:c>
    </x:row>
    <x:row r="10">
      <x:c r="A10" s="18" t="str">
        <x:v>Manual Entry E-commerce Share</x:v>
      </x:c>
      <x:c r="B10" t="str">
        <x:v>44% in 2019</x:v>
      </x:c>
      <x:c r="C10"/>
      <x:c r="D10" t="str">
        <x:v>16% in 2025</x:v>
      </x:c>
      <x:c r="E10" t="str">
        <x:v>Tokenization / checkout UX tailwind</x:v>
      </x:c>
    </x:row>
    <x:row r="12">
      <x:c r="A12" s="56" t="str">
        <x:v>Why the KPIs matter: payments volume drives service revenue; processed transactions drive data processing; cross-border and international mix influence take rate; credentials and acceptance footprint protect network effects; tokenization and VAS attach rate expand monetization beyond core interchange economics.</x:v>
      </x:c>
    </x:row>
  </x:sheetData>
  <x:mergeCells>
    <x:mergeCell ref="A1:E1"/>
    <x:mergeCell ref="A12:E12"/>
  </x:mergeCells>
  <x:pageMargins left="0.7" right="0.7" top="0.75" bottom="0.75" header="0.3" footer="0.3"/>
  <x:tableParts count="1">
    <x:tablePart xmlns:r="http://schemas.openxmlformats.org/officeDocument/2006/relationships" r:id="R4b6331ae718146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98" t="str">
        <x:v>Forecast - Base Case ($ in billions, except EPS)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29" t="str">
        <x:v>Metric</x:v>
      </x:c>
      <x:c r="B2" s="29" t="str">
        <x:v>FY2025A</x:v>
      </x:c>
      <x:c r="C2" s="29" t="str">
        <x:v>FY2026E</x:v>
      </x:c>
      <x:c r="D2" s="29" t="str">
        <x:v>FY2027E</x:v>
      </x:c>
      <x:c r="E2" s="29" t="str">
        <x:v>FY2028E</x:v>
      </x:c>
    </x:row>
    <x:row r="3">
      <x:c r="A3" s="18" t="str">
        <x:v>Net Revenue</x:v>
      </x:c>
      <x:c r="B3" s="66" t="n">
        <x:f>'Historical Financials'!D3</x:f>
        <x:v>40</x:v>
      </x:c>
      <x:c r="C3" s="66" t="n">
        <x:f>B3*(1+C4)</x:f>
        <x:v>45</x:v>
      </x:c>
      <x:c r="D3" s="66" t="n">
        <x:f>C3*(1+D4)</x:f>
        <x:v>49.725</x:v>
      </x:c>
      <x:c r="E3" s="66" t="n">
        <x:f>D3*(1+E4)</x:f>
        <x:v>54.200250000000004</x:v>
      </x:c>
    </x:row>
    <x:row r="4">
      <x:c r="A4" s="18" t="str">
        <x:v>% growth</x:v>
      </x:c>
      <x:c r="B4" s="67" t="n">
        <x:f>'Historical Financials'!D4</x:f>
        <x:v>0.11339976618604908</x:v>
      </x:c>
      <x:c r="C4" s="68" t="n">
        <x:v>0.125</x:v>
      </x:c>
      <x:c r="D4" s="68" t="n">
        <x:v>0.105</x:v>
      </x:c>
      <x:c r="E4" s="68" t="n">
        <x:v>0.09</x:v>
      </x:c>
    </x:row>
    <x:row r="5">
      <x:c r="A5" s="18" t="str">
        <x:v>Non-GAAP Operating Margin</x:v>
      </x:c>
      <x:c r="B5" s="67" t="n">
        <x:f>'Historical Financials'!D15</x:f>
        <x:v>0.67735</x:v>
      </x:c>
      <x:c r="C5" s="68" t="n">
        <x:v>0.675</x:v>
      </x:c>
      <x:c r="D5" s="68" t="n">
        <x:v>0.68</x:v>
      </x:c>
      <x:c r="E5" s="68" t="n">
        <x:v>0.682</x:v>
      </x:c>
    </x:row>
    <x:row r="6">
      <x:c r="A6" s="18" t="str">
        <x:v>Non-GAAP Operating Income</x:v>
      </x:c>
      <x:c r="B6" s="66" t="n">
        <x:f>B3*B5</x:f>
        <x:v>27.094</x:v>
      </x:c>
      <x:c r="C6" s="66" t="n">
        <x:f>C3*C5</x:f>
        <x:v>30.375000000000004</x:v>
      </x:c>
      <x:c r="D6" s="66" t="n">
        <x:f>D3*D5</x:f>
        <x:v>33.813</x:v>
      </x:c>
      <x:c r="E6" s="66" t="n">
        <x:f>E3*E5</x:f>
        <x:v>36.96457050000001</x:v>
      </x:c>
    </x:row>
    <x:row r="7">
      <x:c r="A7" s="18" t="str">
        <x:v>Non-GAAP Net Margin</x:v>
      </x:c>
      <x:c r="B7" s="67" t="n">
        <x:f>'Historical Financials'!D19</x:f>
        <x:v>0.56355</x:v>
      </x:c>
      <x:c r="C7" s="68" t="n">
        <x:v>0.558</x:v>
      </x:c>
      <x:c r="D7" s="68" t="n">
        <x:v>0.557</x:v>
      </x:c>
      <x:c r="E7" s="68" t="n">
        <x:v>0.556</x:v>
      </x:c>
    </x:row>
    <x:row r="8">
      <x:c r="A8" s="18" t="str">
        <x:v>Non-GAAP Net Income</x:v>
      </x:c>
      <x:c r="B8" s="66" t="n">
        <x:f>B3*B7</x:f>
        <x:v>22.542</x:v>
      </x:c>
      <x:c r="C8" s="66" t="n">
        <x:f>C3*C7</x:f>
        <x:v>25.110000000000003</x:v>
      </x:c>
      <x:c r="D8" s="66" t="n">
        <x:f>D3*D7</x:f>
        <x:v>27.696825000000004</x:v>
      </x:c>
      <x:c r="E8" s="66" t="n">
        <x:f>E3*E7</x:f>
        <x:v>30.135339000000005</x:v>
      </x:c>
    </x:row>
    <x:row r="9">
      <x:c r="A9" s="18" t="str">
        <x:v>Non-GAAP EPS</x:v>
      </x:c>
      <x:c r="B9" s="69" t="n">
        <x:f>'Historical Financials'!D20</x:f>
        <x:v>11.47</x:v>
      </x:c>
      <x:c r="C9" s="70" t="n">
        <x:v>12.95</x:v>
      </x:c>
      <x:c r="D9" s="70" t="n">
        <x:v>14.35</x:v>
      </x:c>
      <x:c r="E9" s="70" t="n">
        <x:v>15.82</x:v>
      </x:c>
    </x:row>
    <x:row r="10">
      <x:c r="A10" s="18" t="str">
        <x:v>% growth</x:v>
      </x:c>
      <x:c r="B10" s="67" t="n">
        <x:f>'Historical Financials'!D21</x:f>
        <x:v>0.14129353233830844</x:v>
      </x:c>
      <x:c r="C10" s="67" t="n">
        <x:f>C9/B9-1</x:f>
        <x:v>0.12903225806451601</x:v>
      </x:c>
      <x:c r="D10" s="67" t="n">
        <x:f>D9/C9-1</x:f>
        <x:v>0.10810810810810811</x:v>
      </x:c>
      <x:c r="E10" s="67" t="n">
        <x:f>E9/D9-1</x:f>
        <x:v>0.102439024390244</x:v>
      </x:c>
    </x:row>
    <x:row r="11">
      <x:c r="A11" s="18" t="str">
        <x:v>Key Assumption</x:v>
      </x:c>
      <x:c r="B11" t="str">
        <x:v>Actual</x:v>
      </x:c>
      <x:c r="C11" t="str">
        <x:v>LDD/low-teens revenue; VAS + core growth</x:v>
      </x:c>
      <x:c r="D11" t="str">
        <x:v>Growth normalizes but VAS/AI/B2B helps</x:v>
      </x:c>
      <x:c r="E11" t="str">
        <x:v>Scale benefit partially offset by regulation/competition</x:v>
      </x:c>
    </x:row>
    <x:row r="13">
      <x:c r="A13" s="52" t="str">
        <x:v>Blue/yellow cells are analyst-controlled assumptions. Formula cells should remain black. Refresh model with actual filings before any interview submission.</x:v>
      </x:c>
    </x:row>
  </x:sheetData>
  <x:mergeCells>
    <x:mergeCell ref="A1:E1"/>
    <x:mergeCell ref="A13:E13"/>
  </x:mergeCells>
  <x:pageMargins left="0.7" right="0.7" top="0.75" bottom="0.75" header="0.3" footer="0.3"/>
  <x:tableParts count="1">
    <x:tablePart xmlns:r="http://schemas.openxmlformats.org/officeDocument/2006/relationships" r:id="R12c85f5e37bd4e4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8" t="str">
        <x:v>Valuation - EPS Multiple and Scenario Analysis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3">
      <x:c r="A3" s="29" t="str">
        <x:v>Scenario</x:v>
      </x:c>
      <x:c r="B3" s="29" t="str">
        <x:v>FY2027E EPS</x:v>
      </x:c>
      <x:c r="C3" s="29" t="str">
        <x:v>Target P/E</x:v>
      </x:c>
      <x:c r="D3" s="29" t="str">
        <x:v>Target Price</x:v>
      </x:c>
      <x:c r="E3" s="29" t="str">
        <x:v>Current Price</x:v>
      </x:c>
      <x:c r="F3" s="29" t="str">
        <x:v>Upside / Downside</x:v>
      </x:c>
    </x:row>
    <x:row r="4">
      <x:c r="A4" t="str">
        <x:v>Bear</x:v>
      </x:c>
      <x:c r="B4" s="70" t="n">
        <x:v>13.2</x:v>
      </x:c>
      <x:c r="C4" s="86" t="n">
        <x:v>23.5</x:v>
      </x:c>
      <x:c r="D4" s="88" t="n">
        <x:f>B4*C4</x:f>
        <x:v>310.2</x:v>
      </x:c>
      <x:c r="E4" s="88" t="n">
        <x:v>322.39</x:v>
      </x:c>
      <x:c r="F4" s="89" t="n">
        <x:f>D4/E4-1</x:f>
        <x:v>-0.03781134650578488</x:v>
      </x:c>
    </x:row>
    <x:row r="5">
      <x:c r="A5" t="str">
        <x:v>Base</x:v>
      </x:c>
      <x:c r="B5" s="70" t="n">
        <x:f>'Forecast'!D9</x:f>
        <x:v>14.35</x:v>
      </x:c>
      <x:c r="C5" s="86" t="n">
        <x:v>26.5</x:v>
      </x:c>
      <x:c r="D5" s="88" t="n">
        <x:f>B5*C5</x:f>
        <x:v>380.275</x:v>
      </x:c>
      <x:c r="E5" s="88" t="n">
        <x:v>322.39</x:v>
      </x:c>
      <x:c r="F5" s="89" t="n">
        <x:f>D5/E5-1</x:f>
        <x:v>0.1795496138217687</x:v>
      </x:c>
    </x:row>
    <x:row r="6">
      <x:c r="A6" t="str">
        <x:v>Bull</x:v>
      </x:c>
      <x:c r="B6" s="70" t="n">
        <x:v>15</x:v>
      </x:c>
      <x:c r="C6" s="86" t="n">
        <x:v>30</x:v>
      </x:c>
      <x:c r="D6" s="88" t="n">
        <x:f>B6*C6</x:f>
        <x:v>450</x:v>
      </x:c>
      <x:c r="E6" s="88" t="n">
        <x:v>322.39</x:v>
      </x:c>
      <x:c r="F6" s="89" t="n">
        <x:f>D6/E6-1</x:f>
        <x:v>0.3958249325351284</x:v>
      </x:c>
    </x:row>
    <x:row r="8">
      <x:c r="A8" s="13" t="str">
        <x:v>Base Case Bridge</x:v>
      </x:c>
    </x:row>
    <x:row r="9">
      <x:c r="A9" s="18" t="str">
        <x:v>FY2027E EPS</x:v>
      </x:c>
      <x:c r="B9" s="40" t="n">
        <x:f>'Forecast'!D9</x:f>
        <x:v>14.35</x:v>
      </x:c>
      <x:c r="C9" t="str"/>
      <x:c r="D9" t="str"/>
      <x:c r="E9" t="str"/>
      <x:c r="F9" t="str"/>
    </x:row>
    <x:row r="10">
      <x:c r="A10" s="18" t="str">
        <x:v>Selected Target P/E</x:v>
      </x:c>
      <x:c r="B10" s="40" t="n">
        <x:f>C5</x:f>
        <x:v>26.5</x:v>
      </x:c>
      <x:c r="C10" t="str"/>
      <x:c r="D10" t="str"/>
      <x:c r="E10" t="str"/>
      <x:c r="F10" t="str"/>
    </x:row>
    <x:row r="11">
      <x:c r="A11" s="18" t="str">
        <x:v>Implied Target Price</x:v>
      </x:c>
      <x:c r="B11" s="22" t="n">
        <x:f>B9*B10</x:f>
        <x:v>380.275</x:v>
      </x:c>
      <x:c r="C11" t="str"/>
      <x:c r="D11" t="str"/>
      <x:c r="E11" t="str"/>
      <x:c r="F11" t="str"/>
    </x:row>
    <x:row r="12">
      <x:c r="A12" s="18" t="str">
        <x:v>Investment Recommendation</x:v>
      </x:c>
      <x:c r="B12" t="str">
        <x:v>BUY / Outperform</x:v>
      </x:c>
      <x:c r="C12" t="str"/>
      <x:c r="D12" t="str"/>
      <x:c r="E12" t="str"/>
      <x:c r="F12" t="str"/>
    </x:row>
    <x:row r="13">
      <x:c r="A13" s="18" t="str">
        <x:v>Valuation Debate</x:v>
      </x:c>
      <x:c r="B13" s="54" t="str">
        <x:v>Premium multiple is supported by asset-light economics, scale, VAS mix, and cash returns; risks are regulation, domestic schemes, real-time payments, and macro/cross-border cyclicality.</x:v>
      </x:c>
      <x:c r="C13" s="54" t="str"/>
      <x:c r="D13" s="54" t="str"/>
      <x:c r="E13" s="54" t="str"/>
      <x:c r="F13" s="54" t="str"/>
    </x:row>
  </x:sheetData>
  <x:mergeCells>
    <x:mergeCell ref="A1:F1"/>
    <x:mergeCell ref="A8:F8"/>
  </x:mergeCells>
  <x:pageMargins left="0.7" right="0.7" top="0.75" bottom="0.75" header="0.3" footer="0.3"/>
  <x:tableParts count="1">
    <x:tablePart xmlns:r="http://schemas.openxmlformats.org/officeDocument/2006/relationships" r:id="R33789bb5b2484ba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18" hidden="0" customWidth="1"/>
    <x:col min="5" max="5" width="12" hidden="0" customWidth="1"/>
    <x:col min="6" max="6" width="14" hidden="0" customWidth="1"/>
    <x:col min="7" max="7" width="32" hidden="0" customWidth="1"/>
    <x:col min="8" max="8" width="42" hidden="0" customWidth="1"/>
  </x:cols>
  <x:sheetData>
    <x:row r="1">
      <x:c r="A1" s="98" t="str">
        <x:v>Peer Comparables - Payments and Financial Network Companies</x:v>
      </x:c>
      <x:c r="B1" s="106"/>
      <x:c r="C1" s="106"/>
      <x:c r="D1" s="106"/>
      <x:c r="E1" s="106"/>
      <x:c r="F1" s="106"/>
      <x:c r="G1" s="106"/>
      <x:c r="H1" s="106"/>
      <x:c r="I1" s="99"/>
      <x:c r="J1" s="99"/>
      <x:c r="K1" s="99"/>
    </x:row>
    <x:row r="2">
      <x:c r="A2" s="29" t="str">
        <x:v>Company</x:v>
      </x:c>
      <x:c r="B2" s="29" t="str">
        <x:v>Ticker</x:v>
      </x:c>
      <x:c r="C2" s="29" t="str">
        <x:v>Price</x:v>
      </x:c>
      <x:c r="D2" s="29" t="str">
        <x:v>Market Cap ($bn)</x:v>
      </x:c>
      <x:c r="E2" s="29" t="str">
        <x:v>P/E</x:v>
      </x:c>
      <x:c r="F2" s="29" t="str">
        <x:v>EV/EBITDA</x:v>
      </x:c>
      <x:c r="G2" s="29" t="str">
        <x:v>Business Mix</x:v>
      </x:c>
      <x:c r="H2" s="29" t="str">
        <x:v>Source / Note</x:v>
      </x:c>
    </x:row>
    <x:row r="3">
      <x:c r="A3" t="str">
        <x:v>Visa</x:v>
      </x:c>
      <x:c r="B3" t="str">
        <x:v>V</x:v>
      </x:c>
      <x:c r="C3" s="38" t="n">
        <x:v>322.39</x:v>
      </x:c>
      <x:c r="D3" s="38" t="n">
        <x:v>660.9</x:v>
      </x:c>
      <x:c r="E3" s="92" t="n">
        <x:v>28.1</x:v>
      </x:c>
      <x:c r="F3" s="92" t="n">
        <x:v>20.5</x:v>
      </x:c>
      <x:c r="G3" t="str">
        <x:v>Global card network + VAS</x:v>
      </x:c>
      <x:c r="H3" t="str">
        <x:v>Price/cap: market data snapshot; EV/EBITDA public source</x:v>
      </x:c>
    </x:row>
    <x:row r="4">
      <x:c r="A4" t="str">
        <x:v>Mastercard</x:v>
      </x:c>
      <x:c r="B4" t="str">
        <x:v>MA</x:v>
      </x:c>
      <x:c r="C4" s="38" t="n">
        <x:v>489.98</x:v>
      </x:c>
      <x:c r="D4" s="38" t="n">
        <x:v>437.6</x:v>
      </x:c>
      <x:c r="E4" s="92" t="n">
        <x:v>28.4</x:v>
      </x:c>
      <x:c r="F4" s="92" t="n">
        <x:v>20.4</x:v>
      </x:c>
      <x:c r="G4" t="str">
        <x:v>Global card network</x:v>
      </x:c>
      <x:c r="H4" t="str">
        <x:v>Market data snapshot / public EV source</x:v>
      </x:c>
    </x:row>
    <x:row r="5">
      <x:c r="A5" t="str">
        <x:v>American Express</x:v>
      </x:c>
      <x:c r="B5" t="str">
        <x:v>AXP</x:v>
      </x:c>
      <x:c r="C5" s="38" t="n">
        <x:v>325.44</x:v>
      </x:c>
      <x:c r="D5" s="38" t="n">
        <x:v>223.3</x:v>
      </x:c>
      <x:c r="E5" s="92" t="n">
        <x:v>20.3</x:v>
      </x:c>
      <x:c r="F5" s="92" t="str">
        <x:v>N/M</x:v>
      </x:c>
      <x:c r="G5" t="str">
        <x:v>Closed-loop network + credit exposure</x:v>
      </x:c>
      <x:c r="H5" t="str">
        <x:v>Market data snapshot</x:v>
      </x:c>
    </x:row>
    <x:row r="6">
      <x:c r="A6" t="str">
        <x:v>Fiserv</x:v>
      </x:c>
      <x:c r="B6" t="str">
        <x:v>FI</x:v>
      </x:c>
      <x:c r="C6" s="38" t="n">
        <x:v>64.38</x:v>
      </x:c>
      <x:c r="D6" s="38" t="n">
        <x:v>28.3</x:v>
      </x:c>
      <x:c r="E6" s="92" t="n">
        <x:v>9</x:v>
      </x:c>
      <x:c r="F6" s="92" t="str">
        <x:v>N/M</x:v>
      </x:c>
      <x:c r="G6" t="str">
        <x:v>Merchant acquiring / issuer processing</x:v>
      </x:c>
      <x:c r="H6" t="str">
        <x:v>Public market data; verify before use</x:v>
      </x:c>
    </x:row>
    <x:row r="7">
      <x:c r="A7" t="str">
        <x:v>Global Payments</x:v>
      </x:c>
      <x:c r="B7" t="str">
        <x:v>GPN</x:v>
      </x:c>
      <x:c r="C7" s="38" t="n">
        <x:v>67.71</x:v>
      </x:c>
      <x:c r="D7" s="38" t="n">
        <x:v>17.9</x:v>
      </x:c>
      <x:c r="E7" s="92" t="n">
        <x:v>24.1</x:v>
      </x:c>
      <x:c r="F7" s="92" t="str">
        <x:v>N/M</x:v>
      </x:c>
      <x:c r="G7" t="str">
        <x:v>Merchant acquiring / software-led payments</x:v>
      </x:c>
      <x:c r="H7" t="str">
        <x:v>Public market data; verify before use</x:v>
      </x:c>
    </x:row>
    <x:row r="8">
      <x:c r="A8" t="str">
        <x:v>Shift4</x:v>
      </x:c>
      <x:c r="B8" t="str">
        <x:v>FOUR</x:v>
      </x:c>
      <x:c r="C8" s="38" t="n">
        <x:v>41.18</x:v>
      </x:c>
      <x:c r="D8" s="38" t="n">
        <x:v>3</x:v>
      </x:c>
      <x:c r="E8" s="92" t="n">
        <x:v>19.7</x:v>
      </x:c>
      <x:c r="F8" s="92" t="n">
        <x:v>6.8</x:v>
      </x:c>
      <x:c r="G8" t="str">
        <x:v>SMB/vertical merchant acquiring</x:v>
      </x:c>
      <x:c r="H8" t="str">
        <x:v>Public market data; sources vary - verify</x:v>
      </x:c>
    </x:row>
    <x:row r="9">
      <x:c r="A9" s="18" t="str">
        <x:v>Median</x:v>
      </x:c>
      <x:c r="B9" t="str"/>
      <x:c r="C9" s="38" t="str"/>
      <x:c r="D9" s="38" t="n">
        <x:f>MEDIAN(D3:D8)</x:f>
        <x:v>125.80000000000001</x:v>
      </x:c>
      <x:c r="E9" s="92" t="n">
        <x:f>MEDIAN(E3:E8)</x:f>
        <x:v>22.200000000000003</x:v>
      </x:c>
      <x:c r="F9" s="92" t="n">
        <x:f>MEDIAN(F3:F8)</x:f>
        <x:v>20.4</x:v>
      </x:c>
      <x:c r="G9" t="str"/>
      <x:c r="H9" t="str"/>
    </x:row>
    <x:row r="10">
      <x:c r="A10" s="18" t="str">
        <x:v>Mean</x:v>
      </x:c>
      <x:c r="B10" t="str"/>
      <x:c r="C10" s="38" t="str"/>
      <x:c r="D10" s="38" t="n">
        <x:f>AVERAGE(D3:D8)</x:f>
        <x:v>228.5</x:v>
      </x:c>
      <x:c r="E10" s="92" t="n">
        <x:f>AVERAGE(E3:E8)</x:f>
        <x:v>21.599999999999998</x:v>
      </x:c>
      <x:c r="F10" s="92" t="n">
        <x:f>AVERAGE(F3:F8)</x:f>
        <x:v>15.899999999999999</x:v>
      </x:c>
      <x:c r="G10" t="str"/>
      <x:c r="H10" t="str"/>
    </x:row>
    <x:row r="12">
      <x:c r="A12" s="56" t="str">
        <x:v>Analyst note: Card networks deserve a structurally higher valuation than merchant acquirers because revenue is more scalable, balance-sheet-light, and less exposed to merchant pricing compression. AXP is not a clean comp because it carries credit exposure.</x:v>
      </x:c>
    </x:row>
  </x:sheetData>
  <x:mergeCells>
    <x:mergeCell ref="A1:H1"/>
    <x:mergeCell ref="A12:H12"/>
  </x:mergeCells>
  <x:pageMargins left="0.7" right="0.7" top="0.75" bottom="0.75" header="0.3" footer="0.3"/>
  <x:tableParts count="1">
    <x:tablePart xmlns:r="http://schemas.openxmlformats.org/officeDocument/2006/relationships" r:id="R447ae9cd1a7c478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6" hidden="0" customWidth="1"/>
    <x:col min="6" max="6" width="20" hidden="0" customWidth="1"/>
    <x:col min="7" max="7" width="18" hidden="0" customWidth="1"/>
    <x:col min="8" max="8" width="12" hidden="0" customWidth="1"/>
    <x:col min="9" max="9" width="14" hidden="0" customWidth="1"/>
  </x:cols>
  <x:sheetData>
    <x:row r="1">
      <x:c r="A1" s="98" t="str">
        <x:v>Presentation-Ready Data Tables for Charts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3">
      <x:c r="A3" s="29" t="str">
        <x:v>Year</x:v>
      </x:c>
      <x:c r="B3" s="29" t="str">
        <x:v>Net Revenue ($bn)</x:v>
      </x:c>
      <x:c r="C3" s="29" t="str">
        <x:v>Non-GAAP Operating Margin</x:v>
      </x:c>
      <x:c r="D3" s="29" t="str">
        <x:v>Non-GAAP EPS</x:v>
      </x:c>
      <x:c r="F3" s="29" t="str">
        <x:v>Company</x:v>
      </x:c>
      <x:c r="G3" s="29" t="str">
        <x:v>Market Cap ($bn)</x:v>
      </x:c>
      <x:c r="H3" s="29" t="str">
        <x:v>P/E</x:v>
      </x:c>
      <x:c r="I3" s="29" t="str">
        <x:v>EV/EBITDA</x:v>
      </x:c>
    </x:row>
    <x:row r="4">
      <x:c r="A4" t="str">
        <x:v>FY2023A</x:v>
      </x:c>
      <x:c r="B4" s="38" t="n">
        <x:v>32.653</x:v>
      </x:c>
      <x:c r="C4" s="20" t="n">
        <x:f>'Historical Financials'!B15</x:f>
        <x:v>0.6790187731601997</x:v>
      </x:c>
      <x:c r="D4" s="40" t="n">
        <x:v>8.77</x:v>
      </x:c>
      <x:c r="F4" t="str">
        <x:f>'Peer Comps'!A3</x:f>
        <x:v>Visa</x:v>
      </x:c>
      <x:c r="G4" s="38" t="n">
        <x:f>'Peer Comps'!D3</x:f>
        <x:v>660.9</x:v>
      </x:c>
      <x:c r="H4" s="92" t="n">
        <x:f>'Peer Comps'!E3</x:f>
        <x:v>28.1</x:v>
      </x:c>
      <x:c r="I4" s="92" t="n">
        <x:f>'Peer Comps'!F3</x:f>
        <x:v>20.5</x:v>
      </x:c>
    </x:row>
    <x:row r="5">
      <x:c r="A5" t="str">
        <x:v>FY2024A</x:v>
      </x:c>
      <x:c r="B5" s="38" t="n">
        <x:v>35.926</x:v>
      </x:c>
      <x:c r="C5" s="20" t="n">
        <x:f>'Historical Financials'!C15</x:f>
        <x:v>0.676863552858654</x:v>
      </x:c>
      <x:c r="D5" s="40" t="n">
        <x:v>10.05</x:v>
      </x:c>
      <x:c r="F5" t="str">
        <x:f>'Peer Comps'!A4</x:f>
        <x:v>Mastercard</x:v>
      </x:c>
      <x:c r="G5" s="38" t="n">
        <x:f>'Peer Comps'!D4</x:f>
        <x:v>437.6</x:v>
      </x:c>
      <x:c r="H5" s="92" t="n">
        <x:f>'Peer Comps'!E4</x:f>
        <x:v>28.4</x:v>
      </x:c>
      <x:c r="I5" s="92" t="n">
        <x:f>'Peer Comps'!F4</x:f>
        <x:v>20.4</x:v>
      </x:c>
    </x:row>
    <x:row r="6">
      <x:c r="A6" t="str">
        <x:v>FY2025A</x:v>
      </x:c>
      <x:c r="B6" s="38" t="n">
        <x:v>40</x:v>
      </x:c>
      <x:c r="C6" s="20" t="n">
        <x:f>'Historical Financials'!D15</x:f>
        <x:v>0.67735</x:v>
      </x:c>
      <x:c r="D6" s="40" t="n">
        <x:v>11.47</x:v>
      </x:c>
      <x:c r="F6" t="str">
        <x:f>'Peer Comps'!A5</x:f>
        <x:v>American Express</x:v>
      </x:c>
      <x:c r="G6" s="38" t="n">
        <x:f>'Peer Comps'!D5</x:f>
        <x:v>223.3</x:v>
      </x:c>
      <x:c r="H6" s="92" t="n">
        <x:f>'Peer Comps'!E5</x:f>
        <x:v>20.3</x:v>
      </x:c>
      <x:c r="I6" s="92" t="str">
        <x:f>'Peer Comps'!F5</x:f>
        <x:v>N/M</x:v>
      </x:c>
    </x:row>
    <x:row r="7">
      <x:c r="A7" t="str">
        <x:v>FY2026E</x:v>
      </x:c>
      <x:c r="B7" s="38" t="n">
        <x:f>'Forecast'!C3</x:f>
        <x:v>45</x:v>
      </x:c>
      <x:c r="C7" s="20" t="n">
        <x:f>'Forecast'!C5</x:f>
        <x:v>0.675</x:v>
      </x:c>
      <x:c r="D7" s="40" t="n">
        <x:f>'Forecast'!C9</x:f>
        <x:v>12.95</x:v>
      </x:c>
      <x:c r="F7" t="str">
        <x:f>'Peer Comps'!A6</x:f>
        <x:v>Fiserv</x:v>
      </x:c>
      <x:c r="G7" s="38" t="n">
        <x:f>'Peer Comps'!D6</x:f>
        <x:v>28.3</x:v>
      </x:c>
      <x:c r="H7" s="92" t="n">
        <x:f>'Peer Comps'!E6</x:f>
        <x:v>9</x:v>
      </x:c>
      <x:c r="I7" s="92" t="str">
        <x:f>'Peer Comps'!F6</x:f>
        <x:v>N/M</x:v>
      </x:c>
    </x:row>
    <x:row r="8">
      <x:c r="A8" t="str">
        <x:v>FY2027E</x:v>
      </x:c>
      <x:c r="B8" s="38" t="n">
        <x:f>'Forecast'!D3</x:f>
        <x:v>49.725</x:v>
      </x:c>
      <x:c r="C8" s="20" t="n">
        <x:f>'Forecast'!D5</x:f>
        <x:v>0.68</x:v>
      </x:c>
      <x:c r="D8" s="40" t="n">
        <x:f>'Forecast'!D9</x:f>
        <x:v>14.35</x:v>
      </x:c>
      <x:c r="F8" t="str">
        <x:f>'Peer Comps'!A7</x:f>
        <x:v>Global Payments</x:v>
      </x:c>
      <x:c r="G8" s="38" t="n">
        <x:f>'Peer Comps'!D7</x:f>
        <x:v>17.9</x:v>
      </x:c>
      <x:c r="H8" s="92" t="n">
        <x:f>'Peer Comps'!E7</x:f>
        <x:v>24.1</x:v>
      </x:c>
      <x:c r="I8" s="92" t="str">
        <x:f>'Peer Comps'!F7</x:f>
        <x:v>N/M</x:v>
      </x:c>
    </x:row>
    <x:row r="9">
      <x:c r="A9" t="str">
        <x:v>FY2028E</x:v>
      </x:c>
      <x:c r="B9" s="38" t="n">
        <x:f>'Forecast'!E3</x:f>
        <x:v>54.200250000000004</x:v>
      </x:c>
      <x:c r="C9" s="20" t="n">
        <x:f>'Forecast'!E5</x:f>
        <x:v>0.682</x:v>
      </x:c>
      <x:c r="D9" s="40" t="n">
        <x:f>'Forecast'!E9</x:f>
        <x:v>15.82</x:v>
      </x:c>
      <x:c r="F9" t="str">
        <x:f>'Peer Comps'!A8</x:f>
        <x:v>Shift4</x:v>
      </x:c>
      <x:c r="G9" s="38" t="n">
        <x:f>'Peer Comps'!D8</x:f>
        <x:v>3</x:v>
      </x:c>
      <x:c r="H9" s="92" t="n">
        <x:f>'Peer Comps'!E8</x:f>
        <x:v>19.7</x:v>
      </x:c>
      <x:c r="I9" s="92" t="n">
        <x:f>'Peer Comps'!F8</x:f>
        <x:v>6.8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2f3d38c248084f6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24" hidden="0" customWidth="1"/>
  </x:cols>
  <x:sheetData>
    <x:row r="1">
      <x:c r="A1" s="108" t="str">
        <x:v>Question</x:v>
      </x:c>
      <x:c r="B1" s="108" t="str">
        <x:v>Strong Answer Framework</x:v>
      </x:c>
      <x:c r="C1" s="108" t="str">
        <x:v>What It Tests</x:v>
      </x:c>
      <x:c r="D1" s="99"/>
      <x:c r="E1" s="99"/>
      <x:c r="F1" s="99"/>
      <x:c r="G1" s="99"/>
      <x:c r="H1" s="99"/>
      <x:c r="I1" s="99"/>
      <x:c r="J1" s="99"/>
      <x:c r="K1" s="99"/>
    </x:row>
    <x:row r="2">
      <x:c r="A2" t="str">
        <x:v>Why Visa for a FIG / payments report?</x:v>
      </x:c>
      <x:c r="B2" t="str">
        <x:v>Visa is a high-quality, asset-light financial infrastructure business with network effects, visible secular growth, high margins, and live debates around regulation, real-time payments, AI, and stablecoins.</x:v>
      </x:c>
      <x:c r="C2" t="str">
        <x:v>Sector judgment</x:v>
      </x:c>
    </x:row>
    <x:row r="3">
      <x:c r="A3" t="str">
        <x:v>Why not value Visa like a bank?</x:v>
      </x:c>
      <x:c r="B3" t="str">
        <x:v>Visa does not issue cards, extend credit, or bear cardholder credit risk; valuation should emphasize network revenue, transaction growth, VAS mix, margins, FCF, and capital returns rather than NIM or credit losses.</x:v>
      </x:c>
      <x:c r="C3" t="str">
        <x:v>Business model understanding</x:v>
      </x:c>
    </x:row>
    <x:row r="4">
      <x:c r="A4" t="str">
        <x:v>What drives revenue?</x:v>
      </x:c>
      <x:c r="B4" t="str">
        <x:v>Payment volume drives service revenue, transactions drive data processing, cross-border drives international transaction revenue, and VAS expands monetization beyond core assessment / processing economics.</x:v>
      </x:c>
      <x:c r="C4" t="str">
        <x:v>Operating model</x:v>
      </x:c>
    </x:row>
    <x:row r="5">
      <x:c r="A5" t="str">
        <x:v>What is the biggest risk to the thesis?</x:v>
      </x:c>
      <x:c r="B5" t="str">
        <x:v>Regulation and merchant-routing/interchange pressure are the most direct risks; real-time payment rails and domestic networks are strategic risks, but monetization and acceptance remain key constraints for displacing Visa.</x:v>
      </x:c>
      <x:c r="C5" t="str">
        <x:v>Risk awareness</x:v>
      </x:c>
    </x:row>
    <x:row r="6">
      <x:c r="A6" t="str">
        <x:v>Why a premium multiple?</x:v>
      </x:c>
      <x:c r="B6" t="str">
        <x:v>Scale, acceptance footprint, high incremental margins, cash flow conversion, buybacks, and scarcity value versus lower-quality merchant acquirers support a premium, though upside requires continued EPS growth.</x:v>
      </x:c>
      <x:c r="C6" t="str">
        <x:v>Valuation defense</x:v>
      </x:c>
    </x:row>
    <x:row r="7">
      <x:c r="A7" t="str">
        <x:v>What would change your rating?</x:v>
      </x:c>
      <x:c r="B7" t="str">
        <x:v>A material take-rate compression, weak cross-border recovery, VAS slowdown, or credible disintermediation from regulated alternative rails would pressure the rating and multiple.</x:v>
      </x:c>
      <x:c r="C7" t="str">
        <x:v>Thesis flexibility</x:v>
      </x:c>
    </x:row>
    <x:row r="8">
      <x:c r="A8" t="str">
        <x:v>How would an IB FIG team use this?</x:v>
      </x:c>
      <x:c r="B8" t="str">
        <x:v>It shows sector framing, model discipline, comp selection, risk identification, and the ability to translate public-market coverage into client-ready strategic insights.</x:v>
      </x:c>
      <x:c r="C8" t="str">
        <x:v>Recruiting fit</x:v>
      </x:c>
    </x:row>
  </x:sheetData>
  <x:pageMargins left="0.7" right="0.7" top="0.75" bottom="0.75" header="0.3" footer="0.3"/>
</x:worksheet>
</file>